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 defaultThemeVersion="124226"/>
  <bookViews>
    <workbookView xWindow="-120" yWindow="-120" windowWidth="29040" windowHeight="15720"/>
  </bookViews>
  <sheets>
    <sheet name="RANGO HORARIO" sheetId="1" r:id="rId1"/>
  </sheets>
  <externalReferences>
    <externalReference r:id="rId2"/>
  </externalReferences>
  <definedNames>
    <definedName name="_xlnm.Print_Area" localSheetId="0">'RANGO HORARIO'!$A$8:$A$34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10" i="1" l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X10" i="1" l="1"/>
  <c r="AS11" i="1"/>
  <c r="AW11" i="1" s="1"/>
  <c r="AS12" i="1"/>
  <c r="AS13" i="1"/>
  <c r="AS14" i="1"/>
  <c r="AS15" i="1"/>
  <c r="AS16" i="1"/>
  <c r="AS17" i="1"/>
  <c r="AS18" i="1"/>
  <c r="AS19" i="1"/>
  <c r="AS20" i="1"/>
  <c r="AS21" i="1"/>
  <c r="AS22" i="1"/>
  <c r="AS23" i="1"/>
  <c r="AS24" i="1"/>
  <c r="AS25" i="1"/>
  <c r="AS26" i="1"/>
  <c r="AS27" i="1"/>
  <c r="AS28" i="1"/>
  <c r="AS29" i="1"/>
  <c r="AS30" i="1"/>
  <c r="AS31" i="1"/>
  <c r="AS32" i="1"/>
  <c r="AS33" i="1"/>
  <c r="AW33" i="1" s="1"/>
  <c r="AS34" i="1"/>
  <c r="AS10" i="1"/>
  <c r="AW10" i="1" s="1"/>
  <c r="AQ10" i="1"/>
  <c r="AN35" i="1"/>
  <c r="AO35" i="1" l="1"/>
  <c r="AP35" i="1" l="1"/>
  <c r="AS35" i="1"/>
  <c r="AQ35" i="1"/>
  <c r="Q35" i="1"/>
  <c r="B35" i="1"/>
  <c r="AY10" i="1"/>
  <c r="AW12" i="1"/>
  <c r="AW13" i="1"/>
  <c r="AW14" i="1"/>
  <c r="AW16" i="1"/>
  <c r="AW17" i="1"/>
  <c r="AW18" i="1"/>
  <c r="AW20" i="1"/>
  <c r="AW21" i="1"/>
  <c r="AW22" i="1"/>
  <c r="AW23" i="1"/>
  <c r="AW25" i="1"/>
  <c r="AW26" i="1"/>
  <c r="AW29" i="1"/>
  <c r="AW30" i="1"/>
  <c r="AW31" i="1"/>
  <c r="AW32" i="1"/>
  <c r="AQ34" i="1"/>
  <c r="AW19" i="1"/>
  <c r="AX17" i="1"/>
  <c r="AX16" i="1"/>
  <c r="AX15" i="1"/>
  <c r="AX11" i="1"/>
  <c r="AX12" i="1"/>
  <c r="AX13" i="1"/>
  <c r="AX14" i="1"/>
  <c r="AX18" i="1"/>
  <c r="AX19" i="1"/>
  <c r="AZ19" i="1" s="1"/>
  <c r="AX20" i="1"/>
  <c r="AX21" i="1"/>
  <c r="AX22" i="1"/>
  <c r="AX23" i="1"/>
  <c r="AX24" i="1"/>
  <c r="AX25" i="1"/>
  <c r="AX26" i="1"/>
  <c r="AX27" i="1"/>
  <c r="AX28" i="1"/>
  <c r="AX29" i="1"/>
  <c r="AX30" i="1"/>
  <c r="AX31" i="1"/>
  <c r="AX32" i="1"/>
  <c r="AX33" i="1"/>
  <c r="AP34" i="1"/>
  <c r="I35" i="1"/>
  <c r="AW24" i="1"/>
  <c r="AW28" i="1"/>
  <c r="AM35" i="1"/>
  <c r="AQ33" i="1"/>
  <c r="AQ32" i="1"/>
  <c r="AQ31" i="1"/>
  <c r="AQ30" i="1"/>
  <c r="AQ29" i="1"/>
  <c r="AQ28" i="1"/>
  <c r="AQ27" i="1"/>
  <c r="AQ26" i="1"/>
  <c r="AQ25" i="1"/>
  <c r="AQ24" i="1"/>
  <c r="AQ23" i="1"/>
  <c r="AQ22" i="1"/>
  <c r="AQ21" i="1"/>
  <c r="AQ20" i="1"/>
  <c r="AQ19" i="1"/>
  <c r="AQ18" i="1"/>
  <c r="AQ17" i="1"/>
  <c r="AQ16" i="1"/>
  <c r="AQ15" i="1"/>
  <c r="AQ14" i="1"/>
  <c r="AQ13" i="1"/>
  <c r="AQ12" i="1"/>
  <c r="AQ11" i="1"/>
  <c r="AL35" i="1"/>
  <c r="AK35" i="1"/>
  <c r="AW27" i="1"/>
  <c r="AW15" i="1"/>
  <c r="AJ35" i="1"/>
  <c r="AI35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P35" i="1"/>
  <c r="O35" i="1"/>
  <c r="N35" i="1"/>
  <c r="M35" i="1"/>
  <c r="L35" i="1"/>
  <c r="K35" i="1"/>
  <c r="J35" i="1"/>
  <c r="H35" i="1"/>
  <c r="G35" i="1"/>
  <c r="F35" i="1"/>
  <c r="E35" i="1"/>
  <c r="D35" i="1"/>
  <c r="C35" i="1"/>
  <c r="AY12" i="1" l="1"/>
  <c r="AY25" i="1"/>
  <c r="AZ13" i="1"/>
  <c r="AY20" i="1"/>
  <c r="AY11" i="1"/>
  <c r="AZ32" i="1"/>
  <c r="AZ10" i="1"/>
  <c r="AZ28" i="1"/>
  <c r="AZ17" i="1"/>
  <c r="AZ23" i="1"/>
  <c r="AZ31" i="1"/>
  <c r="AY33" i="1"/>
  <c r="AZ27" i="1"/>
  <c r="AZ29" i="1"/>
  <c r="AY16" i="1"/>
  <c r="AZ15" i="1"/>
  <c r="AY31" i="1"/>
  <c r="AZ33" i="1"/>
  <c r="AY32" i="1"/>
  <c r="AY29" i="1"/>
  <c r="AZ11" i="1"/>
  <c r="AZ16" i="1"/>
  <c r="AY22" i="1"/>
  <c r="AY23" i="1"/>
  <c r="AY17" i="1"/>
  <c r="AY27" i="1"/>
  <c r="AY15" i="1"/>
  <c r="AZ21" i="1"/>
  <c r="AY21" i="1"/>
  <c r="AZ12" i="1"/>
  <c r="AY14" i="1"/>
  <c r="AZ14" i="1"/>
  <c r="AY30" i="1"/>
  <c r="AZ30" i="1"/>
  <c r="AZ26" i="1"/>
  <c r="AY26" i="1"/>
  <c r="AY13" i="1"/>
  <c r="AZ24" i="1"/>
  <c r="AZ18" i="1"/>
  <c r="AY18" i="1"/>
  <c r="AY28" i="1"/>
  <c r="AZ22" i="1"/>
  <c r="AY24" i="1"/>
  <c r="AY19" i="1"/>
  <c r="AZ25" i="1"/>
  <c r="AZ20" i="1"/>
</calcChain>
</file>

<file path=xl/sharedStrings.xml><?xml version="1.0" encoding="utf-8"?>
<sst xmlns="http://schemas.openxmlformats.org/spreadsheetml/2006/main" count="109" uniqueCount="83">
  <si>
    <t>CORPORACION NACIONAL FORESTAL</t>
  </si>
  <si>
    <t>GERENCIA PROTECCION CONTRA INCENDIOS FORESTALES</t>
  </si>
  <si>
    <t>GERENCIA MANEJO DEL FUEGO</t>
  </si>
  <si>
    <t>OCURRENCIA NACIONAL DE INCENDIOS FORESTALES SEGÚN RANGO HORARIO</t>
  </si>
  <si>
    <t>RANGO HORARIO</t>
  </si>
  <si>
    <t>TEMPORADAS (Nº Incendios)</t>
  </si>
  <si>
    <t>OCURRENCIA INCENDIOS FORESTALES</t>
  </si>
  <si>
    <t>84-85</t>
  </si>
  <si>
    <t>85-86</t>
  </si>
  <si>
    <t>86-87</t>
  </si>
  <si>
    <t>87-88</t>
  </si>
  <si>
    <t>88-89</t>
  </si>
  <si>
    <t>89-90</t>
  </si>
  <si>
    <t>90-91</t>
  </si>
  <si>
    <t>91-92</t>
  </si>
  <si>
    <t>92-93</t>
  </si>
  <si>
    <t>93-94</t>
  </si>
  <si>
    <t>94-95</t>
  </si>
  <si>
    <t>95-96</t>
  </si>
  <si>
    <t>96-97</t>
  </si>
  <si>
    <t>97-98</t>
  </si>
  <si>
    <t>98-99</t>
  </si>
  <si>
    <t>99-00</t>
  </si>
  <si>
    <t>00-01</t>
  </si>
  <si>
    <t xml:space="preserve"> 01-02</t>
  </si>
  <si>
    <t xml:space="preserve"> 02-03</t>
  </si>
  <si>
    <t xml:space="preserve"> 03-04</t>
  </si>
  <si>
    <t xml:space="preserve"> 04-05</t>
  </si>
  <si>
    <t xml:space="preserve"> 05-06</t>
  </si>
  <si>
    <t xml:space="preserve"> 06-07</t>
  </si>
  <si>
    <t xml:space="preserve"> 07-08</t>
  </si>
  <si>
    <t xml:space="preserve"> 08-09</t>
  </si>
  <si>
    <t xml:space="preserve"> 09-10</t>
  </si>
  <si>
    <t xml:space="preserve"> 10-11</t>
  </si>
  <si>
    <t xml:space="preserve"> 11-12</t>
  </si>
  <si>
    <t xml:space="preserve"> 12-13</t>
  </si>
  <si>
    <t>13-14</t>
  </si>
  <si>
    <t>14-15</t>
  </si>
  <si>
    <t>15-16</t>
  </si>
  <si>
    <t>16-17</t>
  </si>
  <si>
    <t>17 - 18</t>
  </si>
  <si>
    <t>Rango Horario</t>
  </si>
  <si>
    <t>Diferencia</t>
  </si>
  <si>
    <t>Diferencia %</t>
  </si>
  <si>
    <t>00:01 a 01:00</t>
  </si>
  <si>
    <t>01:01 a 02:00</t>
  </si>
  <si>
    <t>02:01 a 03:00</t>
  </si>
  <si>
    <t>03:01 a 04:00</t>
  </si>
  <si>
    <t>04:01 a 05:00</t>
  </si>
  <si>
    <t>05:01 a 06:00</t>
  </si>
  <si>
    <t>06:01 a 07:00</t>
  </si>
  <si>
    <t>07:01 a 08:00</t>
  </si>
  <si>
    <t>08:01 a 09:00</t>
  </si>
  <si>
    <t>09:01 a 10:00</t>
  </si>
  <si>
    <t>10:01 a 11:00</t>
  </si>
  <si>
    <t>11:01a 12:00</t>
  </si>
  <si>
    <t>12:01 a 13:00</t>
  </si>
  <si>
    <t>13:01a 14:00</t>
  </si>
  <si>
    <t>14:01 a 15:00</t>
  </si>
  <si>
    <t>15:01 a 16:00</t>
  </si>
  <si>
    <t>16:01 a 17:00</t>
  </si>
  <si>
    <t>17:01 a 18:00</t>
  </si>
  <si>
    <t>18:01 a 19:00</t>
  </si>
  <si>
    <t>19:01 a 20:00</t>
  </si>
  <si>
    <t>20:01 a 21:00</t>
  </si>
  <si>
    <t>21:01 a 22:00</t>
  </si>
  <si>
    <t>22:01a 23:00</t>
  </si>
  <si>
    <t>23:01 a 24:00</t>
  </si>
  <si>
    <t>DESC.</t>
  </si>
  <si>
    <t>TOTAL</t>
  </si>
  <si>
    <t>18 - 19</t>
  </si>
  <si>
    <t>19 - 20</t>
  </si>
  <si>
    <t>20 - 21</t>
  </si>
  <si>
    <t>21 - 22</t>
  </si>
  <si>
    <t>22 - 23</t>
  </si>
  <si>
    <t>Estadísticas-Octubre 2024</t>
  </si>
  <si>
    <t>TEMPORADAS 1985 A 2024</t>
  </si>
  <si>
    <t>23 - 24</t>
  </si>
  <si>
    <t>TOTAL 1985/2024</t>
  </si>
  <si>
    <t>PROMEDIO 1985/2024</t>
  </si>
  <si>
    <t>PROMEDIO QUINQUENIO 2020/2024</t>
  </si>
  <si>
    <t>Quinquenio 2020-2024</t>
  </si>
  <si>
    <t>Temporada 2023-2024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</si>
</sst>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8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1"/>
      <color rgb="FFFA7D00"/>
      <name val="Calibri"/>
      <family val="2"/>
      <scheme val="minor"/>
    </font>
    <font>
      <b/>
      <sz val="10"/>
      <color theme="0" tint="-0.499984740745262"/>
      <name val="Arial"/>
      <family val="2"/>
    </font>
    <font>
      <b/>
      <sz val="10"/>
      <color rgb="FF0000FF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8"/>
      </left>
      <right style="thin">
        <color indexed="8"/>
      </right>
      <top/>
      <bottom style="hair">
        <color indexed="64"/>
      </bottom>
      <diagonal/>
    </border>
    <border>
      <left style="thin">
        <color indexed="8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8"/>
      </left>
      <right style="thin">
        <color indexed="8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indexed="64"/>
      </bottom>
      <diagonal/>
    </border>
    <border>
      <left style="thin">
        <color rgb="FF7F7F7F"/>
      </left>
      <right/>
      <top style="thin">
        <color rgb="FF7F7F7F"/>
      </top>
      <bottom style="thin">
        <color indexed="64"/>
      </bottom>
      <diagonal/>
    </border>
    <border>
      <left style="thin">
        <color indexed="64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indexed="64"/>
      </right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7F7F7F"/>
      </right>
      <top style="thin">
        <color indexed="64"/>
      </top>
      <bottom style="thin">
        <color rgb="FF7F7F7F"/>
      </bottom>
      <diagonal/>
    </border>
    <border>
      <left style="thin">
        <color indexed="64"/>
      </left>
      <right style="thin">
        <color rgb="FF7F7F7F"/>
      </right>
      <top style="thin">
        <color indexed="64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indexed="64"/>
      </top>
      <bottom style="thin">
        <color rgb="FF7F7F7F"/>
      </bottom>
      <diagonal/>
    </border>
    <border>
      <left style="thin">
        <color rgb="FF7F7F7F"/>
      </left>
      <right style="thin">
        <color indexed="64"/>
      </right>
      <top style="thin">
        <color indexed="64"/>
      </top>
      <bottom style="thin">
        <color rgb="FF7F7F7F"/>
      </bottom>
      <diagonal/>
    </border>
    <border>
      <left style="thin">
        <color rgb="FF7F7F7F"/>
      </left>
      <right style="thin">
        <color indexed="64"/>
      </right>
      <top style="thin">
        <color rgb="FF7F7F7F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7F7F7F"/>
      </bottom>
      <diagonal/>
    </border>
    <border>
      <left/>
      <right/>
      <top style="thin">
        <color indexed="64"/>
      </top>
      <bottom style="thin">
        <color rgb="FF7F7F7F"/>
      </bottom>
      <diagonal/>
    </border>
  </borders>
  <cellStyleXfs count="2">
    <xf numFmtId="0" fontId="0" fillId="0" borderId="0"/>
    <xf numFmtId="0" fontId="4" fillId="2" borderId="25" applyNumberFormat="0" applyAlignment="0" applyProtection="0"/>
  </cellStyleXfs>
  <cellXfs count="89">
    <xf numFmtId="0" fontId="0" fillId="0" borderId="0" xfId="0"/>
    <xf numFmtId="3" fontId="1" fillId="0" borderId="0" xfId="0" applyNumberFormat="1" applyFont="1"/>
    <xf numFmtId="0" fontId="2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vertical="center" wrapText="1"/>
    </xf>
    <xf numFmtId="0" fontId="4" fillId="2" borderId="26" xfId="1" applyBorder="1" applyAlignment="1">
      <alignment horizontal="center" vertical="center"/>
    </xf>
    <xf numFmtId="0" fontId="4" fillId="2" borderId="27" xfId="1" applyBorder="1" applyAlignment="1">
      <alignment horizontal="center" vertical="center"/>
    </xf>
    <xf numFmtId="16" fontId="4" fillId="2" borderId="27" xfId="1" applyNumberFormat="1" applyBorder="1" applyAlignment="1">
      <alignment horizontal="center" vertical="center"/>
    </xf>
    <xf numFmtId="16" fontId="4" fillId="2" borderId="28" xfId="1" applyNumberFormat="1" applyBorder="1" applyAlignment="1">
      <alignment horizontal="center" vertical="center"/>
    </xf>
    <xf numFmtId="16" fontId="4" fillId="2" borderId="26" xfId="1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2" borderId="29" xfId="1" applyBorder="1" applyAlignment="1">
      <alignment horizontal="center" vertical="center" wrapText="1"/>
    </xf>
    <xf numFmtId="0" fontId="4" fillId="2" borderId="25" xfId="1" applyAlignment="1">
      <alignment horizontal="center" vertical="center" wrapText="1"/>
    </xf>
    <xf numFmtId="0" fontId="4" fillId="2" borderId="30" xfId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3" fontId="0" fillId="0" borderId="2" xfId="0" applyNumberFormat="1" applyBorder="1" applyAlignment="1">
      <alignment horizontal="right"/>
    </xf>
    <xf numFmtId="3" fontId="0" fillId="0" borderId="3" xfId="0" applyNumberFormat="1" applyBorder="1" applyAlignment="1">
      <alignment horizontal="right"/>
    </xf>
    <xf numFmtId="3" fontId="0" fillId="0" borderId="2" xfId="0" applyNumberFormat="1" applyBorder="1"/>
    <xf numFmtId="3" fontId="0" fillId="0" borderId="4" xfId="0" applyNumberFormat="1" applyBorder="1"/>
    <xf numFmtId="3" fontId="0" fillId="0" borderId="3" xfId="0" applyNumberFormat="1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4" xfId="0" applyBorder="1"/>
    <xf numFmtId="0" fontId="0" fillId="0" borderId="7" xfId="0" applyBorder="1" applyProtection="1">
      <protection locked="0"/>
    </xf>
    <xf numFmtId="0" fontId="0" fillId="0" borderId="8" xfId="0" applyBorder="1" applyProtection="1">
      <protection locked="0"/>
    </xf>
    <xf numFmtId="3" fontId="0" fillId="0" borderId="8" xfId="0" applyNumberFormat="1" applyBorder="1"/>
    <xf numFmtId="164" fontId="0" fillId="0" borderId="0" xfId="0" applyNumberFormat="1"/>
    <xf numFmtId="3" fontId="0" fillId="0" borderId="0" xfId="0" applyNumberFormat="1"/>
    <xf numFmtId="0" fontId="0" fillId="0" borderId="7" xfId="0" applyBorder="1" applyAlignment="1">
      <alignment horizontal="center"/>
    </xf>
    <xf numFmtId="3" fontId="2" fillId="0" borderId="7" xfId="0" applyNumberFormat="1" applyFont="1" applyBorder="1"/>
    <xf numFmtId="0" fontId="0" fillId="0" borderId="9" xfId="0" applyBorder="1" applyAlignment="1">
      <alignment horizontal="center"/>
    </xf>
    <xf numFmtId="3" fontId="0" fillId="0" borderId="10" xfId="0" applyNumberFormat="1" applyBorder="1" applyAlignment="1">
      <alignment horizontal="right"/>
    </xf>
    <xf numFmtId="3" fontId="0" fillId="0" borderId="11" xfId="0" applyNumberFormat="1" applyBorder="1" applyAlignment="1">
      <alignment horizontal="right"/>
    </xf>
    <xf numFmtId="3" fontId="0" fillId="0" borderId="10" xfId="0" applyNumberFormat="1" applyBorder="1"/>
    <xf numFmtId="3" fontId="0" fillId="0" borderId="12" xfId="0" applyNumberFormat="1" applyBorder="1"/>
    <xf numFmtId="3" fontId="0" fillId="0" borderId="11" xfId="0" applyNumberFormat="1" applyBorder="1"/>
    <xf numFmtId="0" fontId="0" fillId="0" borderId="10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12" xfId="0" applyBorder="1"/>
    <xf numFmtId="0" fontId="0" fillId="0" borderId="11" xfId="0" applyBorder="1" applyProtection="1">
      <protection locked="0"/>
    </xf>
    <xf numFmtId="0" fontId="0" fillId="0" borderId="11" xfId="0" applyBorder="1" applyAlignment="1">
      <alignment horizontal="center"/>
    </xf>
    <xf numFmtId="3" fontId="2" fillId="0" borderId="11" xfId="0" applyNumberFormat="1" applyFont="1" applyBorder="1"/>
    <xf numFmtId="0" fontId="0" fillId="0" borderId="15" xfId="0" applyBorder="1" applyAlignment="1">
      <alignment horizontal="center"/>
    </xf>
    <xf numFmtId="3" fontId="2" fillId="0" borderId="15" xfId="0" applyNumberFormat="1" applyFont="1" applyBorder="1"/>
    <xf numFmtId="0" fontId="0" fillId="0" borderId="16" xfId="0" applyBorder="1" applyAlignment="1">
      <alignment horizontal="center"/>
    </xf>
    <xf numFmtId="3" fontId="0" fillId="0" borderId="17" xfId="0" applyNumberFormat="1" applyBorder="1" applyAlignment="1">
      <alignment horizontal="right"/>
    </xf>
    <xf numFmtId="3" fontId="0" fillId="0" borderId="18" xfId="0" applyNumberFormat="1" applyBorder="1" applyAlignment="1">
      <alignment horizontal="right"/>
    </xf>
    <xf numFmtId="3" fontId="0" fillId="0" borderId="17" xfId="0" applyNumberFormat="1" applyBorder="1"/>
    <xf numFmtId="3" fontId="0" fillId="0" borderId="19" xfId="0" applyNumberFormat="1" applyBorder="1"/>
    <xf numFmtId="3" fontId="0" fillId="0" borderId="18" xfId="0" applyNumberFormat="1" applyBorder="1"/>
    <xf numFmtId="3" fontId="0" fillId="0" borderId="15" xfId="0" applyNumberFormat="1" applyBorder="1"/>
    <xf numFmtId="3" fontId="0" fillId="0" borderId="20" xfId="0" applyNumberFormat="1" applyBorder="1"/>
    <xf numFmtId="2" fontId="5" fillId="0" borderId="0" xfId="0" applyNumberFormat="1" applyFont="1" applyAlignment="1">
      <alignment horizontal="center"/>
    </xf>
    <xf numFmtId="0" fontId="4" fillId="2" borderId="21" xfId="1" applyBorder="1" applyAlignment="1">
      <alignment horizontal="center"/>
    </xf>
    <xf numFmtId="3" fontId="4" fillId="2" borderId="31" xfId="1" applyNumberFormat="1" applyBorder="1" applyAlignment="1">
      <alignment horizontal="center"/>
    </xf>
    <xf numFmtId="3" fontId="4" fillId="2" borderId="32" xfId="1" applyNumberFormat="1" applyBorder="1"/>
    <xf numFmtId="3" fontId="4" fillId="2" borderId="33" xfId="1" applyNumberFormat="1" applyBorder="1"/>
    <xf numFmtId="3" fontId="4" fillId="2" borderId="31" xfId="1" applyNumberFormat="1" applyBorder="1"/>
    <xf numFmtId="3" fontId="4" fillId="2" borderId="34" xfId="1" applyNumberFormat="1" applyBorder="1"/>
    <xf numFmtId="3" fontId="2" fillId="0" borderId="0" xfId="0" applyNumberFormat="1" applyFont="1"/>
    <xf numFmtId="2" fontId="6" fillId="0" borderId="22" xfId="0" applyNumberFormat="1" applyFont="1" applyBorder="1" applyAlignment="1">
      <alignment horizontal="center"/>
    </xf>
    <xf numFmtId="2" fontId="7" fillId="0" borderId="22" xfId="0" applyNumberFormat="1" applyFont="1" applyBorder="1" applyAlignment="1">
      <alignment horizontal="center"/>
    </xf>
    <xf numFmtId="2" fontId="6" fillId="0" borderId="24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2" borderId="25" xfId="1" applyAlignment="1">
      <alignment horizontal="center" vertical="center" wrapText="1"/>
    </xf>
    <xf numFmtId="0" fontId="4" fillId="2" borderId="36" xfId="1" applyBorder="1" applyAlignment="1">
      <alignment horizontal="center" vertical="center"/>
    </xf>
    <xf numFmtId="0" fontId="4" fillId="2" borderId="37" xfId="1" applyBorder="1" applyAlignment="1">
      <alignment horizontal="center" vertical="center"/>
    </xf>
    <xf numFmtId="0" fontId="4" fillId="2" borderId="38" xfId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1" xfId="1" applyBorder="1" applyAlignment="1">
      <alignment horizontal="center" vertical="center" wrapText="1"/>
    </xf>
    <xf numFmtId="0" fontId="4" fillId="2" borderId="16" xfId="1" applyBorder="1" applyAlignment="1">
      <alignment horizontal="center" vertical="center" wrapText="1"/>
    </xf>
    <xf numFmtId="0" fontId="4" fillId="2" borderId="37" xfId="1" applyBorder="1" applyAlignment="1">
      <alignment horizontal="center" vertical="center" wrapText="1"/>
    </xf>
    <xf numFmtId="0" fontId="4" fillId="2" borderId="26" xfId="1" applyBorder="1" applyAlignment="1">
      <alignment horizontal="center" vertical="center" wrapText="1"/>
    </xf>
    <xf numFmtId="0" fontId="4" fillId="2" borderId="38" xfId="1" applyBorder="1" applyAlignment="1">
      <alignment horizontal="center" vertical="center" wrapText="1"/>
    </xf>
    <xf numFmtId="0" fontId="4" fillId="2" borderId="39" xfId="1" applyBorder="1" applyAlignment="1">
      <alignment horizontal="center" vertical="center" wrapText="1"/>
    </xf>
    <xf numFmtId="0" fontId="4" fillId="2" borderId="40" xfId="1" applyBorder="1" applyAlignment="1">
      <alignment horizontal="center" vertical="center"/>
    </xf>
    <xf numFmtId="0" fontId="4" fillId="2" borderId="41" xfId="1" applyBorder="1" applyAlignment="1">
      <alignment horizontal="center" vertical="center"/>
    </xf>
    <xf numFmtId="0" fontId="4" fillId="2" borderId="35" xfId="1" applyBorder="1" applyAlignment="1">
      <alignment horizontal="center" vertical="center"/>
    </xf>
    <xf numFmtId="0" fontId="2" fillId="0" borderId="0" xfId="0" applyFont="1" applyBorder="1"/>
    <xf numFmtId="0" fontId="0" fillId="0" borderId="0" xfId="0" applyBorder="1" applyAlignment="1">
      <alignment horizontal="left"/>
    </xf>
    <xf numFmtId="0" fontId="0" fillId="0" borderId="0" xfId="0" applyNumberFormat="1" applyBorder="1"/>
    <xf numFmtId="3" fontId="0" fillId="0" borderId="0" xfId="0" applyNumberFormat="1" applyBorder="1"/>
    <xf numFmtId="3" fontId="2" fillId="0" borderId="0" xfId="0" applyNumberFormat="1" applyFont="1" applyBorder="1"/>
    <xf numFmtId="0" fontId="0" fillId="0" borderId="0" xfId="0" applyBorder="1"/>
    <xf numFmtId="2" fontId="6" fillId="0" borderId="23" xfId="0" applyNumberFormat="1" applyFont="1" applyBorder="1" applyAlignment="1">
      <alignment horizontal="center"/>
    </xf>
  </cellXfs>
  <cellStyles count="2">
    <cellStyle name="Cálculo" xfId="1" builtinId="22"/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L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CL" sz="16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Ocurrencia Incendios Forestales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CL" sz="16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Quinquenio /Temporada 2023 - 2024</a:t>
            </a:r>
            <a:endParaRPr lang="es-CL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endParaRPr>
          </a:p>
        </c:rich>
      </c:tx>
      <c:layout>
        <c:manualLayout>
          <c:xMode val="edge"/>
          <c:yMode val="edge"/>
          <c:x val="0.32428396792866648"/>
          <c:y val="3.418796037592074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3423850843483168"/>
          <c:y val="0.20227976506790049"/>
          <c:w val="0.82051402908481375"/>
          <c:h val="0.39886150858459252"/>
        </c:manualLayout>
      </c:layout>
      <c:barChart>
        <c:barDir val="col"/>
        <c:grouping val="clustered"/>
        <c:varyColors val="0"/>
        <c:ser>
          <c:idx val="1"/>
          <c:order val="0"/>
          <c:tx>
            <c:v>QUINQUENIO</c:v>
          </c:tx>
          <c:invertIfNegative val="0"/>
          <c:cat>
            <c:strRef>
              <c:f>'RANGO HORARIO'!$AV$10:$AV$33</c:f>
              <c:strCache>
                <c:ptCount val="24"/>
                <c:pt idx="0">
                  <c:v>00:01 a 01:00</c:v>
                </c:pt>
                <c:pt idx="1">
                  <c:v>01:01 a 02:00</c:v>
                </c:pt>
                <c:pt idx="2">
                  <c:v>02:01 a 03:00</c:v>
                </c:pt>
                <c:pt idx="3">
                  <c:v>03:01 a 04:00</c:v>
                </c:pt>
                <c:pt idx="4">
                  <c:v>04:01 a 05:00</c:v>
                </c:pt>
                <c:pt idx="5">
                  <c:v>05:01 a 06:00</c:v>
                </c:pt>
                <c:pt idx="6">
                  <c:v>06:01 a 07:00</c:v>
                </c:pt>
                <c:pt idx="7">
                  <c:v>07:01 a 08:00</c:v>
                </c:pt>
                <c:pt idx="8">
                  <c:v>08:01 a 09:00</c:v>
                </c:pt>
                <c:pt idx="9">
                  <c:v>09:01 a 10:00</c:v>
                </c:pt>
                <c:pt idx="10">
                  <c:v>10:01 a 11:00</c:v>
                </c:pt>
                <c:pt idx="11">
                  <c:v>11:01a 12:00</c:v>
                </c:pt>
                <c:pt idx="12">
                  <c:v>12:01 a 13:00</c:v>
                </c:pt>
                <c:pt idx="13">
                  <c:v>13:01a 14:00</c:v>
                </c:pt>
                <c:pt idx="14">
                  <c:v>14:01 a 15:00</c:v>
                </c:pt>
                <c:pt idx="15">
                  <c:v>15:01 a 16:00</c:v>
                </c:pt>
                <c:pt idx="16">
                  <c:v>16:01 a 17:00</c:v>
                </c:pt>
                <c:pt idx="17">
                  <c:v>17:01 a 18:00</c:v>
                </c:pt>
                <c:pt idx="18">
                  <c:v>18:01 a 19:00</c:v>
                </c:pt>
                <c:pt idx="19">
                  <c:v>19:01 a 20:00</c:v>
                </c:pt>
                <c:pt idx="20">
                  <c:v>20:01 a 21:00</c:v>
                </c:pt>
                <c:pt idx="21">
                  <c:v>21:01 a 22:00</c:v>
                </c:pt>
                <c:pt idx="22">
                  <c:v>22:01a 23:00</c:v>
                </c:pt>
                <c:pt idx="23">
                  <c:v>23:01 a 24:00</c:v>
                </c:pt>
              </c:strCache>
            </c:strRef>
          </c:cat>
          <c:val>
            <c:numRef>
              <c:f>'RANGO HORARIO'!$AW$10:$AW$33</c:f>
              <c:numCache>
                <c:formatCode>#,##0</c:formatCode>
                <c:ptCount val="24"/>
                <c:pt idx="0">
                  <c:v>126</c:v>
                </c:pt>
                <c:pt idx="1">
                  <c:v>77.599999999999994</c:v>
                </c:pt>
                <c:pt idx="2">
                  <c:v>52.6</c:v>
                </c:pt>
                <c:pt idx="3">
                  <c:v>39.200000000000003</c:v>
                </c:pt>
                <c:pt idx="4">
                  <c:v>31.8</c:v>
                </c:pt>
                <c:pt idx="5">
                  <c:v>29.2</c:v>
                </c:pt>
                <c:pt idx="6">
                  <c:v>45.6</c:v>
                </c:pt>
                <c:pt idx="7">
                  <c:v>76.2</c:v>
                </c:pt>
                <c:pt idx="8">
                  <c:v>94.8</c:v>
                </c:pt>
                <c:pt idx="9">
                  <c:v>134</c:v>
                </c:pt>
                <c:pt idx="10">
                  <c:v>186.4</c:v>
                </c:pt>
                <c:pt idx="11">
                  <c:v>288.60000000000002</c:v>
                </c:pt>
                <c:pt idx="12">
                  <c:v>395.2</c:v>
                </c:pt>
                <c:pt idx="13">
                  <c:v>542</c:v>
                </c:pt>
                <c:pt idx="14">
                  <c:v>701.4</c:v>
                </c:pt>
                <c:pt idx="15">
                  <c:v>801.6</c:v>
                </c:pt>
                <c:pt idx="16">
                  <c:v>786.2</c:v>
                </c:pt>
                <c:pt idx="17">
                  <c:v>711.8</c:v>
                </c:pt>
                <c:pt idx="18">
                  <c:v>576.79999999999995</c:v>
                </c:pt>
                <c:pt idx="19">
                  <c:v>408.2</c:v>
                </c:pt>
                <c:pt idx="20">
                  <c:v>295.2</c:v>
                </c:pt>
                <c:pt idx="21">
                  <c:v>244.8</c:v>
                </c:pt>
                <c:pt idx="22">
                  <c:v>219.6</c:v>
                </c:pt>
                <c:pt idx="23">
                  <c:v>158.19999999999999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8C-461B-AB38-0D8E3E21D34D}"/>
            </c:ext>
          </c:extLst>
        </c:ser>
        <c:ser>
          <c:idx val="0"/>
          <c:order val="1"/>
          <c:tx>
            <c:v>2023-2024</c:v>
          </c:tx>
          <c:invertIfNegative val="0"/>
          <c:cat>
            <c:strRef>
              <c:f>'RANGO HORARIO'!$AV$10:$AV$33</c:f>
              <c:strCache>
                <c:ptCount val="24"/>
                <c:pt idx="0">
                  <c:v>00:01 a 01:00</c:v>
                </c:pt>
                <c:pt idx="1">
                  <c:v>01:01 a 02:00</c:v>
                </c:pt>
                <c:pt idx="2">
                  <c:v>02:01 a 03:00</c:v>
                </c:pt>
                <c:pt idx="3">
                  <c:v>03:01 a 04:00</c:v>
                </c:pt>
                <c:pt idx="4">
                  <c:v>04:01 a 05:00</c:v>
                </c:pt>
                <c:pt idx="5">
                  <c:v>05:01 a 06:00</c:v>
                </c:pt>
                <c:pt idx="6">
                  <c:v>06:01 a 07:00</c:v>
                </c:pt>
                <c:pt idx="7">
                  <c:v>07:01 a 08:00</c:v>
                </c:pt>
                <c:pt idx="8">
                  <c:v>08:01 a 09:00</c:v>
                </c:pt>
                <c:pt idx="9">
                  <c:v>09:01 a 10:00</c:v>
                </c:pt>
                <c:pt idx="10">
                  <c:v>10:01 a 11:00</c:v>
                </c:pt>
                <c:pt idx="11">
                  <c:v>11:01a 12:00</c:v>
                </c:pt>
                <c:pt idx="12">
                  <c:v>12:01 a 13:00</c:v>
                </c:pt>
                <c:pt idx="13">
                  <c:v>13:01a 14:00</c:v>
                </c:pt>
                <c:pt idx="14">
                  <c:v>14:01 a 15:00</c:v>
                </c:pt>
                <c:pt idx="15">
                  <c:v>15:01 a 16:00</c:v>
                </c:pt>
                <c:pt idx="16">
                  <c:v>16:01 a 17:00</c:v>
                </c:pt>
                <c:pt idx="17">
                  <c:v>17:01 a 18:00</c:v>
                </c:pt>
                <c:pt idx="18">
                  <c:v>18:01 a 19:00</c:v>
                </c:pt>
                <c:pt idx="19">
                  <c:v>19:01 a 20:00</c:v>
                </c:pt>
                <c:pt idx="20">
                  <c:v>20:01 a 21:00</c:v>
                </c:pt>
                <c:pt idx="21">
                  <c:v>21:01 a 22:00</c:v>
                </c:pt>
                <c:pt idx="22">
                  <c:v>22:01a 23:00</c:v>
                </c:pt>
                <c:pt idx="23">
                  <c:v>23:01 a 24:00</c:v>
                </c:pt>
              </c:strCache>
            </c:strRef>
          </c:cat>
          <c:val>
            <c:numRef>
              <c:f>'RANGO HORARIO'!$AX$10:$AX$33</c:f>
              <c:numCache>
                <c:formatCode>#,##0</c:formatCode>
                <c:ptCount val="24"/>
                <c:pt idx="0">
                  <c:v>104</c:v>
                </c:pt>
                <c:pt idx="1">
                  <c:v>78</c:v>
                </c:pt>
                <c:pt idx="2">
                  <c:v>53</c:v>
                </c:pt>
                <c:pt idx="3">
                  <c:v>38</c:v>
                </c:pt>
                <c:pt idx="4">
                  <c:v>20</c:v>
                </c:pt>
                <c:pt idx="5">
                  <c:v>15</c:v>
                </c:pt>
                <c:pt idx="6">
                  <c:v>23</c:v>
                </c:pt>
                <c:pt idx="7">
                  <c:v>42</c:v>
                </c:pt>
                <c:pt idx="8">
                  <c:v>58</c:v>
                </c:pt>
                <c:pt idx="9">
                  <c:v>107</c:v>
                </c:pt>
                <c:pt idx="10">
                  <c:v>145</c:v>
                </c:pt>
                <c:pt idx="11">
                  <c:v>262</c:v>
                </c:pt>
                <c:pt idx="12">
                  <c:v>366</c:v>
                </c:pt>
                <c:pt idx="13">
                  <c:v>456</c:v>
                </c:pt>
                <c:pt idx="14">
                  <c:v>627</c:v>
                </c:pt>
                <c:pt idx="15">
                  <c:v>749</c:v>
                </c:pt>
                <c:pt idx="16">
                  <c:v>700</c:v>
                </c:pt>
                <c:pt idx="17">
                  <c:v>599</c:v>
                </c:pt>
                <c:pt idx="18">
                  <c:v>464</c:v>
                </c:pt>
                <c:pt idx="19">
                  <c:v>324</c:v>
                </c:pt>
                <c:pt idx="20">
                  <c:v>219</c:v>
                </c:pt>
                <c:pt idx="21">
                  <c:v>192</c:v>
                </c:pt>
                <c:pt idx="22">
                  <c:v>185</c:v>
                </c:pt>
                <c:pt idx="23">
                  <c:v>132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9E8C-461B-AB38-0D8E3E21D3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4992000"/>
        <c:axId val="84993920"/>
      </c:barChart>
      <c:catAx>
        <c:axId val="849920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Rango Horario</a:t>
                </a:r>
              </a:p>
            </c:rich>
          </c:tx>
          <c:layout>
            <c:manualLayout>
              <c:xMode val="edge"/>
              <c:yMode val="edge"/>
              <c:x val="0.52680904612950774"/>
              <c:y val="0.76513419693506057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84993920"/>
        <c:crosses val="autoZero"/>
        <c:auto val="1"/>
        <c:lblAlgn val="ctr"/>
        <c:lblOffset val="100"/>
        <c:noMultiLvlLbl val="0"/>
      </c:catAx>
      <c:valAx>
        <c:axId val="849939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 sz="1000" b="1" i="0" u="none" strike="noStrike" baseline="0">
                    <a:solidFill>
                      <a:srgbClr val="000000"/>
                    </a:solidFill>
                    <a:latin typeface="Calibri"/>
                  </a:rPr>
                  <a:t>N</a:t>
                </a:r>
                <a:r>
                  <a:rPr lang="es-CL" sz="1000" b="1" i="0" u="none" strike="noStrike" baseline="0">
                    <a:solidFill>
                      <a:srgbClr val="000000"/>
                    </a:solidFill>
                    <a:latin typeface="+mn-ea"/>
                    <a:ea typeface="+mn-ea"/>
                    <a:cs typeface="+mn-ea"/>
                  </a:rPr>
                  <a:t>°</a:t>
                </a:r>
                <a:r>
                  <a:rPr lang="es-CL" sz="1000" b="1" i="0" u="none" strike="noStrike" baseline="0">
                    <a:solidFill>
                      <a:srgbClr val="000000"/>
                    </a:solidFill>
                    <a:latin typeface="Calibri"/>
                    <a:ea typeface="+mn-ea"/>
                    <a:cs typeface="+mn-ea"/>
                  </a:rPr>
                  <a:t> de Incendios</a:t>
                </a:r>
                <a:endParaRPr lang="es-CL" sz="1000" b="1" i="0" u="none" strike="noStrike" baseline="0">
                  <a:solidFill>
                    <a:srgbClr val="000000"/>
                  </a:solidFill>
                  <a:latin typeface="Calibri"/>
                </a:endParaRPr>
              </a:p>
            </c:rich>
          </c:tx>
          <c:layout>
            <c:manualLayout>
              <c:xMode val="edge"/>
              <c:yMode val="edge"/>
              <c:x val="5.2790421745227051E-2"/>
              <c:y val="0.27635407670815343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84992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7.8313738179987782E-2"/>
          <c:y val="0.84423638980611304"/>
          <c:w val="0.32128441136638741"/>
          <c:h val="8.9898399796799588E-2"/>
        </c:manualLayout>
      </c:layout>
      <c:overlay val="0"/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CL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/>
    <c:pageMargins b="1" l="0.75" r="0.75" t="1" header="0" footer="0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L"/>
  <c:roundedCorners val="0"/>
  <mc:AlternateContent xmlns:mc="http://schemas.openxmlformats.org/markup-compatibility/2006">
    <mc:Choice xmlns:c14="http://schemas.microsoft.com/office/drawing/2007/8/2/chart" Requires="c14">
      <c14:style val="140"/>
    </mc:Choice>
    <mc:Fallback>
      <c:style val="40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CL" sz="16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DISTRIBUCIÓN HORARIA HISTORICA OCURRENCIA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CL" sz="16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1985-2024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 sz="16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endParaRPr>
          </a:p>
        </c:rich>
      </c:tx>
      <c:layout>
        <c:manualLayout>
          <c:xMode val="edge"/>
          <c:yMode val="edge"/>
          <c:x val="0.30116852276582312"/>
          <c:y val="3.829107655959248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7393410239304506E-2"/>
          <c:y val="0.16721194114695057"/>
          <c:w val="0.90464240903387705"/>
          <c:h val="0.54639244018861777"/>
        </c:manualLayout>
      </c:layout>
      <c:areaChart>
        <c:grouping val="stacked"/>
        <c:varyColors val="0"/>
        <c:ser>
          <c:idx val="0"/>
          <c:order val="0"/>
          <c:tx>
            <c:v>Promedio 1985-2023</c:v>
          </c:tx>
          <c:cat>
            <c:strRef>
              <c:f>'[1]Rango horario 1985-2018'!$A$10:$A$33</c:f>
              <c:strCache>
                <c:ptCount val="24"/>
                <c:pt idx="0">
                  <c:v>00:01 a 01:00</c:v>
                </c:pt>
                <c:pt idx="1">
                  <c:v>01:01 a 02:00</c:v>
                </c:pt>
                <c:pt idx="2">
                  <c:v>02:01 a 03:00</c:v>
                </c:pt>
                <c:pt idx="3">
                  <c:v>03:01 a 04:00</c:v>
                </c:pt>
                <c:pt idx="4">
                  <c:v>04:01 a 05:00</c:v>
                </c:pt>
                <c:pt idx="5">
                  <c:v>05:01 a 06:00</c:v>
                </c:pt>
                <c:pt idx="6">
                  <c:v>06:01 a 07:00</c:v>
                </c:pt>
                <c:pt idx="7">
                  <c:v>07:01 a 08:00</c:v>
                </c:pt>
                <c:pt idx="8">
                  <c:v>08:01 a 09:00</c:v>
                </c:pt>
                <c:pt idx="9">
                  <c:v>09:01 a 10:00</c:v>
                </c:pt>
                <c:pt idx="10">
                  <c:v>10:01 a 11:00</c:v>
                </c:pt>
                <c:pt idx="11">
                  <c:v>11:01a 12:00</c:v>
                </c:pt>
                <c:pt idx="12">
                  <c:v>12:01 a 13:00</c:v>
                </c:pt>
                <c:pt idx="13">
                  <c:v>13:01a 14:00</c:v>
                </c:pt>
                <c:pt idx="14">
                  <c:v>14:01 a 15:00</c:v>
                </c:pt>
                <c:pt idx="15">
                  <c:v>15:01 a 16:00</c:v>
                </c:pt>
                <c:pt idx="16">
                  <c:v>16:01 a 17:00</c:v>
                </c:pt>
                <c:pt idx="17">
                  <c:v>17:01 a 18:00</c:v>
                </c:pt>
                <c:pt idx="18">
                  <c:v>18:01 a 19:00</c:v>
                </c:pt>
                <c:pt idx="19">
                  <c:v>19:01 a 20:00</c:v>
                </c:pt>
                <c:pt idx="20">
                  <c:v>20:01 a 21:00</c:v>
                </c:pt>
                <c:pt idx="21">
                  <c:v>21:01 a 22:00</c:v>
                </c:pt>
                <c:pt idx="22">
                  <c:v>22:01a 23:00</c:v>
                </c:pt>
                <c:pt idx="23">
                  <c:v>23:01 a 24:00</c:v>
                </c:pt>
              </c:strCache>
            </c:strRef>
          </c:cat>
          <c:val>
            <c:numRef>
              <c:f>'RANGO HORARIO'!$AQ$10:$AQ$34</c:f>
              <c:numCache>
                <c:formatCode>#,##0</c:formatCode>
                <c:ptCount val="25"/>
                <c:pt idx="0">
                  <c:v>80.025000000000006</c:v>
                </c:pt>
                <c:pt idx="1">
                  <c:v>45.725000000000001</c:v>
                </c:pt>
                <c:pt idx="2">
                  <c:v>30.625</c:v>
                </c:pt>
                <c:pt idx="3">
                  <c:v>23.3</c:v>
                </c:pt>
                <c:pt idx="4">
                  <c:v>17.850000000000001</c:v>
                </c:pt>
                <c:pt idx="5">
                  <c:v>20.149999999999999</c:v>
                </c:pt>
                <c:pt idx="6">
                  <c:v>34.450000000000003</c:v>
                </c:pt>
                <c:pt idx="7">
                  <c:v>68.724999999999994</c:v>
                </c:pt>
                <c:pt idx="8">
                  <c:v>77.775000000000006</c:v>
                </c:pt>
                <c:pt idx="9">
                  <c:v>106.95</c:v>
                </c:pt>
                <c:pt idx="10">
                  <c:v>156.125</c:v>
                </c:pt>
                <c:pt idx="11">
                  <c:v>246.25</c:v>
                </c:pt>
                <c:pt idx="12">
                  <c:v>351.25</c:v>
                </c:pt>
                <c:pt idx="13">
                  <c:v>508.5</c:v>
                </c:pt>
                <c:pt idx="14">
                  <c:v>666.6</c:v>
                </c:pt>
                <c:pt idx="15">
                  <c:v>762.95</c:v>
                </c:pt>
                <c:pt idx="16">
                  <c:v>728.07500000000005</c:v>
                </c:pt>
                <c:pt idx="17">
                  <c:v>621.52499999999998</c:v>
                </c:pt>
                <c:pt idx="18">
                  <c:v>472.05</c:v>
                </c:pt>
                <c:pt idx="19">
                  <c:v>320.375</c:v>
                </c:pt>
                <c:pt idx="20">
                  <c:v>208.17500000000001</c:v>
                </c:pt>
                <c:pt idx="21">
                  <c:v>173.05</c:v>
                </c:pt>
                <c:pt idx="22">
                  <c:v>142.125</c:v>
                </c:pt>
                <c:pt idx="23">
                  <c:v>93.7</c:v>
                </c:pt>
                <c:pt idx="24">
                  <c:v>1.175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5C6-40AF-B046-A8C2B35D8B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034880"/>
        <c:axId val="85053440"/>
      </c:areaChart>
      <c:catAx>
        <c:axId val="8503488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Horas</a:t>
                </a:r>
              </a:p>
            </c:rich>
          </c:tx>
          <c:layout>
            <c:manualLayout>
              <c:xMode val="edge"/>
              <c:yMode val="edge"/>
              <c:x val="0.48808028866521552"/>
              <c:y val="0.88917667017511137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8505344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8505344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Nº Incendios</a:t>
                </a:r>
              </a:p>
            </c:rich>
          </c:tx>
          <c:layout>
            <c:manualLayout>
              <c:xMode val="edge"/>
              <c:yMode val="edge"/>
              <c:x val="6.2735664535439562E-3"/>
              <c:y val="0.30154682441344577"/>
            </c:manualLayout>
          </c:layout>
          <c:overlay val="0"/>
        </c:title>
        <c:numFmt formatCode="#,##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85034880"/>
        <c:crosses val="autoZero"/>
        <c:crossBetween val="midCat"/>
      </c:valAx>
    </c:plotArea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/>
    <c:pageMargins b="1" l="0.75" r="0.75" t="1" header="0" footer="0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46</xdr:col>
      <xdr:colOff>704850</xdr:colOff>
      <xdr:row>36</xdr:row>
      <xdr:rowOff>152400</xdr:rowOff>
    </xdr:from>
    <xdr:to>
      <xdr:col>56</xdr:col>
      <xdr:colOff>95250</xdr:colOff>
      <xdr:row>67</xdr:row>
      <xdr:rowOff>152400</xdr:rowOff>
    </xdr:to>
    <xdr:graphicFrame macro="">
      <xdr:nvGraphicFramePr>
        <xdr:cNvPr id="1083" name="Gráfico 2">
          <a:extLst>
            <a:ext uri="{FF2B5EF4-FFF2-40B4-BE49-F238E27FC236}">
              <a16:creationId xmlns:a16="http://schemas.microsoft.com/office/drawing/2014/main" xmlns="" id="{0E981918-D362-DB56-9044-3F9011D9C8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676275</xdr:colOff>
      <xdr:row>35</xdr:row>
      <xdr:rowOff>190500</xdr:rowOff>
    </xdr:from>
    <xdr:to>
      <xdr:col>26</xdr:col>
      <xdr:colOff>76200</xdr:colOff>
      <xdr:row>65</xdr:row>
      <xdr:rowOff>104775</xdr:rowOff>
    </xdr:to>
    <xdr:graphicFrame macro="">
      <xdr:nvGraphicFramePr>
        <xdr:cNvPr id="1084" name="Gráfico 1">
          <a:extLst>
            <a:ext uri="{FF2B5EF4-FFF2-40B4-BE49-F238E27FC236}">
              <a16:creationId xmlns:a16="http://schemas.microsoft.com/office/drawing/2014/main" xmlns="" id="{8CFFAE1A-45E9-A6E6-DBDF-09DDF60FCC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tobar/Downloads/TABLA7_TEMPORADA2018_0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ngo horario 1985-2018"/>
    </sheetNames>
    <sheetDataSet>
      <sheetData sheetId="0">
        <row r="10">
          <cell r="A10" t="str">
            <v>00:01 a 01:00</v>
          </cell>
        </row>
        <row r="11">
          <cell r="A11" t="str">
            <v>01:01 a 02:00</v>
          </cell>
        </row>
        <row r="12">
          <cell r="A12" t="str">
            <v>02:01 a 03:00</v>
          </cell>
        </row>
        <row r="13">
          <cell r="A13" t="str">
            <v>03:01 a 04:00</v>
          </cell>
        </row>
        <row r="14">
          <cell r="A14" t="str">
            <v>04:01 a 05:00</v>
          </cell>
        </row>
        <row r="15">
          <cell r="A15" t="str">
            <v>05:01 a 06:00</v>
          </cell>
        </row>
        <row r="16">
          <cell r="A16" t="str">
            <v>06:01 a 07:00</v>
          </cell>
        </row>
        <row r="17">
          <cell r="A17" t="str">
            <v>07:01 a 08:00</v>
          </cell>
        </row>
        <row r="18">
          <cell r="A18" t="str">
            <v>08:01 a 09:00</v>
          </cell>
        </row>
        <row r="19">
          <cell r="A19" t="str">
            <v>09:01 a 10:00</v>
          </cell>
        </row>
        <row r="20">
          <cell r="A20" t="str">
            <v>10:01 a 11:00</v>
          </cell>
        </row>
        <row r="21">
          <cell r="A21" t="str">
            <v>11:01a 12:00</v>
          </cell>
        </row>
        <row r="22">
          <cell r="A22" t="str">
            <v>12:01 a 13:00</v>
          </cell>
        </row>
        <row r="23">
          <cell r="A23" t="str">
            <v>13:01a 14:00</v>
          </cell>
        </row>
        <row r="24">
          <cell r="A24" t="str">
            <v>14:01 a 15:00</v>
          </cell>
        </row>
        <row r="25">
          <cell r="A25" t="str">
            <v>15:01 a 16:00</v>
          </cell>
        </row>
        <row r="26">
          <cell r="A26" t="str">
            <v>16:01 a 17:00</v>
          </cell>
        </row>
        <row r="27">
          <cell r="A27" t="str">
            <v>17:01 a 18:00</v>
          </cell>
        </row>
        <row r="28">
          <cell r="A28" t="str">
            <v>18:01 a 19:00</v>
          </cell>
        </row>
        <row r="29">
          <cell r="A29" t="str">
            <v>19:01 a 20:00</v>
          </cell>
        </row>
        <row r="30">
          <cell r="A30" t="str">
            <v>20:01 a 21:00</v>
          </cell>
        </row>
        <row r="31">
          <cell r="A31" t="str">
            <v>21:01 a 22:00</v>
          </cell>
        </row>
        <row r="32">
          <cell r="A32" t="str">
            <v>22:01a 23:00</v>
          </cell>
        </row>
        <row r="33">
          <cell r="A33" t="str">
            <v>23:01 a 24:00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61"/>
  <sheetViews>
    <sheetView showGridLines="0" tabSelected="1" zoomScale="75" zoomScaleNormal="75" workbookViewId="0">
      <selection activeCell="D1" sqref="D1"/>
    </sheetView>
  </sheetViews>
  <sheetFormatPr baseColWidth="10" defaultRowHeight="15" x14ac:dyDescent="0.25"/>
  <cols>
    <col min="1" max="1" width="15.140625" customWidth="1"/>
    <col min="2" max="38" width="11.42578125" customWidth="1"/>
    <col min="42" max="42" width="13.5703125" customWidth="1"/>
    <col min="43" max="43" width="16" customWidth="1"/>
    <col min="45" max="45" width="19" customWidth="1"/>
    <col min="48" max="48" width="15.42578125" customWidth="1"/>
    <col min="49" max="49" width="15.85546875" customWidth="1"/>
    <col min="50" max="50" width="14.42578125" customWidth="1"/>
    <col min="51" max="52" width="13.7109375" customWidth="1"/>
  </cols>
  <sheetData>
    <row r="1" spans="1:52" x14ac:dyDescent="0.25">
      <c r="A1" s="1" t="s">
        <v>0</v>
      </c>
      <c r="AV1" s="1" t="s">
        <v>0</v>
      </c>
      <c r="AW1" s="2"/>
      <c r="AX1" s="2"/>
      <c r="AY1" s="2"/>
      <c r="AZ1" s="2"/>
    </row>
    <row r="2" spans="1:52" x14ac:dyDescent="0.25">
      <c r="A2" s="1" t="s">
        <v>1</v>
      </c>
      <c r="AV2" s="1" t="s">
        <v>2</v>
      </c>
      <c r="AW2" s="2"/>
      <c r="AX2" s="2"/>
      <c r="AY2" s="2"/>
      <c r="AZ2" s="2"/>
    </row>
    <row r="3" spans="1:52" x14ac:dyDescent="0.25">
      <c r="A3" s="1" t="s">
        <v>75</v>
      </c>
      <c r="AV3" s="1" t="s">
        <v>75</v>
      </c>
      <c r="AW3" s="2"/>
      <c r="AX3" s="2"/>
      <c r="AY3" s="2"/>
      <c r="AZ3" s="2"/>
    </row>
    <row r="4" spans="1:52" x14ac:dyDescent="0.25">
      <c r="AV4" s="2"/>
      <c r="AW4" s="2"/>
      <c r="AX4" s="2"/>
      <c r="AY4" s="2"/>
      <c r="AZ4" s="2"/>
    </row>
    <row r="5" spans="1:52" ht="15.75" x14ac:dyDescent="0.25">
      <c r="A5" s="72" t="s">
        <v>3</v>
      </c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2"/>
      <c r="AQ5" s="72"/>
    </row>
    <row r="6" spans="1:52" ht="15.75" x14ac:dyDescent="0.25">
      <c r="A6" s="72" t="s">
        <v>76</v>
      </c>
      <c r="B6" s="72"/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</row>
    <row r="7" spans="1:52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67"/>
      <c r="AO7" s="3"/>
      <c r="AP7" s="3"/>
      <c r="AQ7" s="3"/>
      <c r="AV7" s="2"/>
      <c r="AW7" s="2"/>
      <c r="AX7" s="2"/>
      <c r="AY7" s="2"/>
      <c r="AZ7" s="2"/>
    </row>
    <row r="8" spans="1:52" x14ac:dyDescent="0.25">
      <c r="A8" s="73" t="s">
        <v>4</v>
      </c>
      <c r="B8" s="79" t="s">
        <v>5</v>
      </c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1"/>
      <c r="AP8" s="75" t="s">
        <v>78</v>
      </c>
      <c r="AQ8" s="77" t="s">
        <v>79</v>
      </c>
      <c r="AR8" s="4"/>
      <c r="AS8" s="68" t="s">
        <v>80</v>
      </c>
      <c r="AV8" s="69" t="s">
        <v>6</v>
      </c>
      <c r="AW8" s="70"/>
      <c r="AX8" s="70"/>
      <c r="AY8" s="70"/>
      <c r="AZ8" s="71"/>
    </row>
    <row r="9" spans="1:52" ht="30" x14ac:dyDescent="0.25">
      <c r="A9" s="74"/>
      <c r="B9" s="5" t="s">
        <v>7</v>
      </c>
      <c r="C9" s="6" t="s">
        <v>8</v>
      </c>
      <c r="D9" s="6" t="s">
        <v>9</v>
      </c>
      <c r="E9" s="6" t="s">
        <v>10</v>
      </c>
      <c r="F9" s="6" t="s">
        <v>11</v>
      </c>
      <c r="G9" s="6" t="s">
        <v>12</v>
      </c>
      <c r="H9" s="6" t="s">
        <v>13</v>
      </c>
      <c r="I9" s="6" t="s">
        <v>14</v>
      </c>
      <c r="J9" s="6" t="s">
        <v>15</v>
      </c>
      <c r="K9" s="6" t="s">
        <v>16</v>
      </c>
      <c r="L9" s="6" t="s">
        <v>17</v>
      </c>
      <c r="M9" s="6" t="s">
        <v>18</v>
      </c>
      <c r="N9" s="6" t="s">
        <v>19</v>
      </c>
      <c r="O9" s="6" t="s">
        <v>20</v>
      </c>
      <c r="P9" s="6" t="s">
        <v>21</v>
      </c>
      <c r="Q9" s="6" t="s">
        <v>22</v>
      </c>
      <c r="R9" s="6" t="s">
        <v>23</v>
      </c>
      <c r="S9" s="7" t="s">
        <v>24</v>
      </c>
      <c r="T9" s="7" t="s">
        <v>25</v>
      </c>
      <c r="U9" s="7" t="s">
        <v>26</v>
      </c>
      <c r="V9" s="7" t="s">
        <v>27</v>
      </c>
      <c r="W9" s="7" t="s">
        <v>28</v>
      </c>
      <c r="X9" s="7" t="s">
        <v>29</v>
      </c>
      <c r="Y9" s="7" t="s">
        <v>30</v>
      </c>
      <c r="Z9" s="7" t="s">
        <v>31</v>
      </c>
      <c r="AA9" s="7" t="s">
        <v>32</v>
      </c>
      <c r="AB9" s="7" t="s">
        <v>33</v>
      </c>
      <c r="AC9" s="7" t="s">
        <v>34</v>
      </c>
      <c r="AD9" s="8" t="s">
        <v>35</v>
      </c>
      <c r="AE9" s="7" t="s">
        <v>36</v>
      </c>
      <c r="AF9" s="9" t="s">
        <v>37</v>
      </c>
      <c r="AG9" s="9" t="s">
        <v>38</v>
      </c>
      <c r="AH9" s="9" t="s">
        <v>39</v>
      </c>
      <c r="AI9" s="9" t="s">
        <v>40</v>
      </c>
      <c r="AJ9" s="9" t="s">
        <v>70</v>
      </c>
      <c r="AK9" s="9" t="s">
        <v>71</v>
      </c>
      <c r="AL9" s="9" t="s">
        <v>72</v>
      </c>
      <c r="AM9" s="9" t="s">
        <v>73</v>
      </c>
      <c r="AN9" s="9" t="s">
        <v>74</v>
      </c>
      <c r="AO9" s="9" t="s">
        <v>77</v>
      </c>
      <c r="AP9" s="76"/>
      <c r="AQ9" s="78"/>
      <c r="AR9" s="4"/>
      <c r="AS9" s="68"/>
      <c r="AT9" s="10"/>
      <c r="AV9" s="11" t="s">
        <v>41</v>
      </c>
      <c r="AW9" s="12" t="s">
        <v>81</v>
      </c>
      <c r="AX9" s="12" t="s">
        <v>82</v>
      </c>
      <c r="AY9" s="12" t="s">
        <v>42</v>
      </c>
      <c r="AZ9" s="13" t="s">
        <v>43</v>
      </c>
    </row>
    <row r="10" spans="1:52" x14ac:dyDescent="0.25">
      <c r="A10" s="14" t="s">
        <v>44</v>
      </c>
      <c r="B10" s="15">
        <v>32</v>
      </c>
      <c r="C10" s="16">
        <v>40</v>
      </c>
      <c r="D10" s="16">
        <v>43</v>
      </c>
      <c r="E10" s="16">
        <v>44</v>
      </c>
      <c r="F10" s="16">
        <v>39</v>
      </c>
      <c r="G10" s="16">
        <v>33</v>
      </c>
      <c r="H10" s="16">
        <v>71</v>
      </c>
      <c r="I10" s="16">
        <v>47</v>
      </c>
      <c r="J10" s="16">
        <v>112</v>
      </c>
      <c r="K10" s="16">
        <v>105</v>
      </c>
      <c r="L10" s="16">
        <v>78</v>
      </c>
      <c r="M10" s="16">
        <v>102</v>
      </c>
      <c r="N10" s="16">
        <v>84</v>
      </c>
      <c r="O10" s="16">
        <v>77</v>
      </c>
      <c r="P10" s="16">
        <v>89</v>
      </c>
      <c r="Q10" s="17">
        <v>82</v>
      </c>
      <c r="R10" s="18">
        <v>83</v>
      </c>
      <c r="S10" s="18">
        <v>88</v>
      </c>
      <c r="T10" s="19">
        <v>77</v>
      </c>
      <c r="U10" s="19">
        <v>89</v>
      </c>
      <c r="V10" s="20">
        <v>98</v>
      </c>
      <c r="W10" s="21">
        <v>63</v>
      </c>
      <c r="X10" s="22">
        <v>63</v>
      </c>
      <c r="Y10" s="22">
        <v>94</v>
      </c>
      <c r="Z10" s="22">
        <v>76</v>
      </c>
      <c r="AA10" s="22">
        <v>47</v>
      </c>
      <c r="AB10" s="23">
        <v>59</v>
      </c>
      <c r="AC10" s="24">
        <v>55</v>
      </c>
      <c r="AD10" s="23">
        <v>77</v>
      </c>
      <c r="AE10" s="25">
        <v>68</v>
      </c>
      <c r="AF10" s="25">
        <v>109</v>
      </c>
      <c r="AG10" s="26">
        <v>107</v>
      </c>
      <c r="AH10" s="26">
        <v>63</v>
      </c>
      <c r="AI10" s="26">
        <v>87</v>
      </c>
      <c r="AJ10" s="26">
        <v>90</v>
      </c>
      <c r="AK10" s="26">
        <v>134</v>
      </c>
      <c r="AL10" s="26">
        <v>116</v>
      </c>
      <c r="AM10" s="26">
        <v>119</v>
      </c>
      <c r="AN10" s="26">
        <v>157</v>
      </c>
      <c r="AO10" s="26">
        <v>104</v>
      </c>
      <c r="AP10" s="27">
        <f>SUM(B10:AO10)</f>
        <v>3201</v>
      </c>
      <c r="AQ10" s="16">
        <f>AVERAGE(B10:AO10)</f>
        <v>80.025000000000006</v>
      </c>
      <c r="AS10" s="16">
        <f>AVERAGE(AK10:AO10)</f>
        <v>126</v>
      </c>
      <c r="AT10" s="28"/>
      <c r="AV10" s="30" t="s">
        <v>44</v>
      </c>
      <c r="AW10" s="31">
        <f>+AS10</f>
        <v>126</v>
      </c>
      <c r="AX10" s="31">
        <f>+AO10</f>
        <v>104</v>
      </c>
      <c r="AY10" s="31">
        <f>+AX10-AW10</f>
        <v>-22</v>
      </c>
      <c r="AZ10" s="88">
        <f>IF(AX10&gt;0,(AX10-AW10)*100/AW10,0)</f>
        <v>-17.460317460317459</v>
      </c>
    </row>
    <row r="11" spans="1:52" x14ac:dyDescent="0.25">
      <c r="A11" s="32" t="s">
        <v>45</v>
      </c>
      <c r="B11" s="33">
        <v>10</v>
      </c>
      <c r="C11" s="34">
        <v>14</v>
      </c>
      <c r="D11" s="34">
        <v>18</v>
      </c>
      <c r="E11" s="34">
        <v>13</v>
      </c>
      <c r="F11" s="34">
        <v>21</v>
      </c>
      <c r="G11" s="34">
        <v>27</v>
      </c>
      <c r="H11" s="34">
        <v>34</v>
      </c>
      <c r="I11" s="34">
        <v>21</v>
      </c>
      <c r="J11" s="34">
        <v>46</v>
      </c>
      <c r="K11" s="34">
        <v>63</v>
      </c>
      <c r="L11" s="34">
        <v>28</v>
      </c>
      <c r="M11" s="34">
        <v>46</v>
      </c>
      <c r="N11" s="34">
        <v>53</v>
      </c>
      <c r="O11" s="34">
        <v>40</v>
      </c>
      <c r="P11" s="34">
        <v>51</v>
      </c>
      <c r="Q11" s="35">
        <v>63</v>
      </c>
      <c r="R11" s="36">
        <v>48</v>
      </c>
      <c r="S11" s="36">
        <v>51</v>
      </c>
      <c r="T11" s="37">
        <v>40</v>
      </c>
      <c r="U11" s="37">
        <v>62</v>
      </c>
      <c r="V11" s="38">
        <v>62</v>
      </c>
      <c r="W11" s="39">
        <v>36</v>
      </c>
      <c r="X11" s="40">
        <v>38</v>
      </c>
      <c r="Y11" s="40">
        <v>48</v>
      </c>
      <c r="Z11" s="40">
        <v>57</v>
      </c>
      <c r="AA11" s="40">
        <v>24</v>
      </c>
      <c r="AB11" s="41">
        <v>20</v>
      </c>
      <c r="AC11" s="42">
        <v>29</v>
      </c>
      <c r="AD11" s="41">
        <v>39</v>
      </c>
      <c r="AE11" s="43">
        <v>51</v>
      </c>
      <c r="AF11" s="43">
        <v>67</v>
      </c>
      <c r="AG11" s="26">
        <v>70</v>
      </c>
      <c r="AH11" s="26">
        <v>39</v>
      </c>
      <c r="AI11" s="26">
        <v>50</v>
      </c>
      <c r="AJ11" s="26">
        <v>62</v>
      </c>
      <c r="AK11" s="26">
        <v>79</v>
      </c>
      <c r="AL11" s="26">
        <v>57</v>
      </c>
      <c r="AM11" s="26">
        <v>84</v>
      </c>
      <c r="AN11" s="26">
        <v>90</v>
      </c>
      <c r="AO11" s="26">
        <v>78</v>
      </c>
      <c r="AP11" s="27">
        <f>SUM(B11:AO11)</f>
        <v>1829</v>
      </c>
      <c r="AQ11" s="16">
        <f t="shared" ref="AQ11:AQ33" si="0">AVERAGE(B11:AO11)</f>
        <v>45.725000000000001</v>
      </c>
      <c r="AS11" s="16">
        <f t="shared" ref="AS11:AS34" si="1">AVERAGE(AK11:AO11)</f>
        <v>77.599999999999994</v>
      </c>
      <c r="AT11" s="28"/>
      <c r="AV11" s="44" t="s">
        <v>45</v>
      </c>
      <c r="AW11" s="45">
        <f>+AS11</f>
        <v>77.599999999999994</v>
      </c>
      <c r="AX11" s="45">
        <f t="shared" ref="AX11:AX33" si="2">+AO11</f>
        <v>78</v>
      </c>
      <c r="AY11" s="45">
        <f>+AX11-AW11</f>
        <v>0.40000000000000568</v>
      </c>
      <c r="AZ11" s="65">
        <f t="shared" ref="AZ11:AZ33" si="3">IF(AX11&gt;0,(AX11-AW11)*100/AW11,0)</f>
        <v>0.51546391752578058</v>
      </c>
    </row>
    <row r="12" spans="1:52" x14ac:dyDescent="0.25">
      <c r="A12" s="32" t="s">
        <v>46</v>
      </c>
      <c r="B12" s="33">
        <v>6</v>
      </c>
      <c r="C12" s="34">
        <v>7</v>
      </c>
      <c r="D12" s="34">
        <v>11</v>
      </c>
      <c r="E12" s="34">
        <v>12</v>
      </c>
      <c r="F12" s="34">
        <v>12</v>
      </c>
      <c r="G12" s="34">
        <v>13</v>
      </c>
      <c r="H12" s="34">
        <v>27</v>
      </c>
      <c r="I12" s="34">
        <v>11</v>
      </c>
      <c r="J12" s="34">
        <v>35</v>
      </c>
      <c r="K12" s="34">
        <v>35</v>
      </c>
      <c r="L12" s="34">
        <v>22</v>
      </c>
      <c r="M12" s="34">
        <v>28</v>
      </c>
      <c r="N12" s="34">
        <v>19</v>
      </c>
      <c r="O12" s="34">
        <v>25</v>
      </c>
      <c r="P12" s="34">
        <v>34</v>
      </c>
      <c r="Q12" s="35">
        <v>32</v>
      </c>
      <c r="R12" s="36">
        <v>28</v>
      </c>
      <c r="S12" s="36">
        <v>34</v>
      </c>
      <c r="T12" s="37">
        <v>25</v>
      </c>
      <c r="U12" s="37">
        <v>35</v>
      </c>
      <c r="V12" s="38">
        <v>36</v>
      </c>
      <c r="W12" s="39">
        <v>33</v>
      </c>
      <c r="X12" s="40">
        <v>21</v>
      </c>
      <c r="Y12" s="40">
        <v>41</v>
      </c>
      <c r="Z12" s="40">
        <v>32</v>
      </c>
      <c r="AA12" s="40">
        <v>18</v>
      </c>
      <c r="AB12" s="41">
        <v>17</v>
      </c>
      <c r="AC12" s="42">
        <v>24</v>
      </c>
      <c r="AD12" s="41">
        <v>28</v>
      </c>
      <c r="AE12" s="43">
        <v>43</v>
      </c>
      <c r="AF12" s="43">
        <v>51</v>
      </c>
      <c r="AG12" s="26">
        <v>51</v>
      </c>
      <c r="AH12" s="26">
        <v>32</v>
      </c>
      <c r="AI12" s="26">
        <v>27</v>
      </c>
      <c r="AJ12" s="26">
        <v>57</v>
      </c>
      <c r="AK12" s="26">
        <v>53</v>
      </c>
      <c r="AL12" s="26">
        <v>40</v>
      </c>
      <c r="AM12" s="26">
        <v>46</v>
      </c>
      <c r="AN12" s="26">
        <v>71</v>
      </c>
      <c r="AO12" s="26">
        <v>53</v>
      </c>
      <c r="AP12" s="27">
        <f>SUM(B12:AO12)</f>
        <v>1225</v>
      </c>
      <c r="AQ12" s="16">
        <f t="shared" si="0"/>
        <v>30.625</v>
      </c>
      <c r="AS12" s="16">
        <f t="shared" si="1"/>
        <v>52.6</v>
      </c>
      <c r="AT12" s="28"/>
      <c r="AV12" s="44" t="s">
        <v>46</v>
      </c>
      <c r="AW12" s="45">
        <f>+AS12</f>
        <v>52.6</v>
      </c>
      <c r="AX12" s="45">
        <f t="shared" si="2"/>
        <v>53</v>
      </c>
      <c r="AY12" s="45">
        <f>+AX12-AW12</f>
        <v>0.39999999999999858</v>
      </c>
      <c r="AZ12" s="65">
        <f t="shared" si="3"/>
        <v>0.76045627376425584</v>
      </c>
    </row>
    <row r="13" spans="1:52" x14ac:dyDescent="0.25">
      <c r="A13" s="32" t="s">
        <v>47</v>
      </c>
      <c r="B13" s="33">
        <v>7</v>
      </c>
      <c r="C13" s="34">
        <v>11</v>
      </c>
      <c r="D13" s="34">
        <v>17</v>
      </c>
      <c r="E13" s="34">
        <v>15</v>
      </c>
      <c r="F13" s="34">
        <v>12</v>
      </c>
      <c r="G13" s="34">
        <v>13</v>
      </c>
      <c r="H13" s="34">
        <v>8</v>
      </c>
      <c r="I13" s="34">
        <v>7</v>
      </c>
      <c r="J13" s="34">
        <v>30</v>
      </c>
      <c r="K13" s="34">
        <v>18</v>
      </c>
      <c r="L13" s="34">
        <v>16</v>
      </c>
      <c r="M13" s="34">
        <v>20</v>
      </c>
      <c r="N13" s="34">
        <v>26</v>
      </c>
      <c r="O13" s="34">
        <v>21</v>
      </c>
      <c r="P13" s="34">
        <v>37</v>
      </c>
      <c r="Q13" s="35">
        <v>14</v>
      </c>
      <c r="R13" s="36">
        <v>21</v>
      </c>
      <c r="S13" s="36">
        <v>34</v>
      </c>
      <c r="T13" s="37">
        <v>13</v>
      </c>
      <c r="U13" s="37">
        <v>35</v>
      </c>
      <c r="V13" s="38">
        <v>28</v>
      </c>
      <c r="W13" s="39">
        <v>24</v>
      </c>
      <c r="X13" s="40">
        <v>13</v>
      </c>
      <c r="Y13" s="40">
        <v>32</v>
      </c>
      <c r="Z13" s="40">
        <v>25</v>
      </c>
      <c r="AA13" s="40">
        <v>22</v>
      </c>
      <c r="AB13" s="41">
        <v>9</v>
      </c>
      <c r="AC13" s="42">
        <v>14</v>
      </c>
      <c r="AD13" s="41">
        <v>19</v>
      </c>
      <c r="AE13" s="43">
        <v>28</v>
      </c>
      <c r="AF13" s="43">
        <v>48</v>
      </c>
      <c r="AG13" s="26">
        <v>30</v>
      </c>
      <c r="AH13" s="26">
        <v>21</v>
      </c>
      <c r="AI13" s="26">
        <v>20</v>
      </c>
      <c r="AJ13" s="26">
        <v>28</v>
      </c>
      <c r="AK13" s="26">
        <v>42</v>
      </c>
      <c r="AL13" s="26">
        <v>28</v>
      </c>
      <c r="AM13" s="26">
        <v>46</v>
      </c>
      <c r="AN13" s="26">
        <v>42</v>
      </c>
      <c r="AO13" s="26">
        <v>38</v>
      </c>
      <c r="AP13" s="27">
        <f t="shared" ref="AP13:AP34" si="4">SUM(B13:AO13)</f>
        <v>932</v>
      </c>
      <c r="AQ13" s="16">
        <f t="shared" si="0"/>
        <v>23.3</v>
      </c>
      <c r="AS13" s="16">
        <f t="shared" si="1"/>
        <v>39.200000000000003</v>
      </c>
      <c r="AT13" s="28"/>
      <c r="AV13" s="44" t="s">
        <v>47</v>
      </c>
      <c r="AW13" s="45">
        <f>+AS13</f>
        <v>39.200000000000003</v>
      </c>
      <c r="AX13" s="45">
        <f t="shared" si="2"/>
        <v>38</v>
      </c>
      <c r="AY13" s="45">
        <f>+AX13-AW13</f>
        <v>-1.2000000000000028</v>
      </c>
      <c r="AZ13" s="64">
        <f>IF(AX13&gt;0,(AX13-AW13)*100/AW13,0)</f>
        <v>-3.0612244897959253</v>
      </c>
    </row>
    <row r="14" spans="1:52" x14ac:dyDescent="0.25">
      <c r="A14" s="32" t="s">
        <v>48</v>
      </c>
      <c r="B14" s="33">
        <v>1</v>
      </c>
      <c r="C14" s="34">
        <v>5</v>
      </c>
      <c r="D14" s="34">
        <v>11</v>
      </c>
      <c r="E14" s="34">
        <v>10</v>
      </c>
      <c r="F14" s="34">
        <v>11</v>
      </c>
      <c r="G14" s="34">
        <v>9</v>
      </c>
      <c r="H14" s="34">
        <v>8</v>
      </c>
      <c r="I14" s="34">
        <v>4</v>
      </c>
      <c r="J14" s="34">
        <v>14</v>
      </c>
      <c r="K14" s="34">
        <v>12</v>
      </c>
      <c r="L14" s="34">
        <v>5</v>
      </c>
      <c r="M14" s="34">
        <v>21</v>
      </c>
      <c r="N14" s="34">
        <v>17</v>
      </c>
      <c r="O14" s="34">
        <v>11</v>
      </c>
      <c r="P14" s="34">
        <v>26</v>
      </c>
      <c r="Q14" s="35">
        <v>17</v>
      </c>
      <c r="R14" s="36">
        <v>13</v>
      </c>
      <c r="S14" s="36">
        <v>24</v>
      </c>
      <c r="T14" s="37">
        <v>14</v>
      </c>
      <c r="U14" s="37">
        <v>27</v>
      </c>
      <c r="V14" s="38">
        <v>30</v>
      </c>
      <c r="W14" s="39">
        <v>9</v>
      </c>
      <c r="X14" s="40">
        <v>11</v>
      </c>
      <c r="Y14" s="40">
        <v>18</v>
      </c>
      <c r="Z14" s="40">
        <v>28</v>
      </c>
      <c r="AA14" s="40">
        <v>13</v>
      </c>
      <c r="AB14" s="41">
        <v>12</v>
      </c>
      <c r="AC14" s="42">
        <v>15</v>
      </c>
      <c r="AD14" s="41">
        <v>18</v>
      </c>
      <c r="AE14" s="43">
        <v>24</v>
      </c>
      <c r="AF14" s="43">
        <v>31</v>
      </c>
      <c r="AG14" s="26">
        <v>17</v>
      </c>
      <c r="AH14" s="26">
        <v>15</v>
      </c>
      <c r="AI14" s="26">
        <v>22</v>
      </c>
      <c r="AJ14" s="26">
        <v>32</v>
      </c>
      <c r="AK14" s="26">
        <v>35</v>
      </c>
      <c r="AL14" s="26">
        <v>29</v>
      </c>
      <c r="AM14" s="26">
        <v>45</v>
      </c>
      <c r="AN14" s="26">
        <v>30</v>
      </c>
      <c r="AO14" s="26">
        <v>20</v>
      </c>
      <c r="AP14" s="27">
        <f t="shared" si="4"/>
        <v>714</v>
      </c>
      <c r="AQ14" s="16">
        <f t="shared" si="0"/>
        <v>17.850000000000001</v>
      </c>
      <c r="AS14" s="16">
        <f t="shared" si="1"/>
        <v>31.8</v>
      </c>
      <c r="AT14" s="28"/>
      <c r="AV14" s="44" t="s">
        <v>48</v>
      </c>
      <c r="AW14" s="45">
        <f t="shared" ref="AW14:AW33" si="5">+AS14</f>
        <v>31.8</v>
      </c>
      <c r="AX14" s="45">
        <f t="shared" si="2"/>
        <v>20</v>
      </c>
      <c r="AY14" s="45">
        <f t="shared" ref="AY14:AY33" si="6">+AX14-AW14</f>
        <v>-11.8</v>
      </c>
      <c r="AZ14" s="64">
        <f t="shared" si="3"/>
        <v>-37.106918238993707</v>
      </c>
    </row>
    <row r="15" spans="1:52" x14ac:dyDescent="0.25">
      <c r="A15" s="32" t="s">
        <v>49</v>
      </c>
      <c r="B15" s="33">
        <v>14</v>
      </c>
      <c r="C15" s="34">
        <v>10</v>
      </c>
      <c r="D15" s="34">
        <v>12</v>
      </c>
      <c r="E15" s="34">
        <v>16</v>
      </c>
      <c r="F15" s="34">
        <v>14</v>
      </c>
      <c r="G15" s="34">
        <v>10</v>
      </c>
      <c r="H15" s="34">
        <v>6</v>
      </c>
      <c r="I15" s="34">
        <v>10</v>
      </c>
      <c r="J15" s="34">
        <v>16</v>
      </c>
      <c r="K15" s="34">
        <v>27</v>
      </c>
      <c r="L15" s="34">
        <v>9</v>
      </c>
      <c r="M15" s="34">
        <v>17</v>
      </c>
      <c r="N15" s="34">
        <v>24</v>
      </c>
      <c r="O15" s="34">
        <v>19</v>
      </c>
      <c r="P15" s="34">
        <v>24</v>
      </c>
      <c r="Q15" s="35">
        <v>13</v>
      </c>
      <c r="R15" s="36">
        <v>21</v>
      </c>
      <c r="S15" s="36">
        <v>24</v>
      </c>
      <c r="T15" s="37">
        <v>15</v>
      </c>
      <c r="U15" s="37">
        <v>26</v>
      </c>
      <c r="V15" s="38">
        <v>21</v>
      </c>
      <c r="W15" s="39">
        <v>24</v>
      </c>
      <c r="X15" s="40">
        <v>8</v>
      </c>
      <c r="Y15" s="40">
        <v>28</v>
      </c>
      <c r="Z15" s="40">
        <v>26</v>
      </c>
      <c r="AA15" s="40">
        <v>18</v>
      </c>
      <c r="AB15" s="41">
        <v>19</v>
      </c>
      <c r="AC15" s="42">
        <v>26</v>
      </c>
      <c r="AD15" s="41">
        <v>17</v>
      </c>
      <c r="AE15" s="43">
        <v>23</v>
      </c>
      <c r="AF15" s="43">
        <v>35</v>
      </c>
      <c r="AG15" s="26">
        <v>26</v>
      </c>
      <c r="AH15" s="26">
        <v>14</v>
      </c>
      <c r="AI15" s="26">
        <v>29</v>
      </c>
      <c r="AJ15" s="26">
        <v>19</v>
      </c>
      <c r="AK15" s="26">
        <v>38</v>
      </c>
      <c r="AL15" s="26">
        <v>37</v>
      </c>
      <c r="AM15" s="26">
        <v>33</v>
      </c>
      <c r="AN15" s="26">
        <v>23</v>
      </c>
      <c r="AO15" s="26">
        <v>15</v>
      </c>
      <c r="AP15" s="27">
        <f t="shared" si="4"/>
        <v>806</v>
      </c>
      <c r="AQ15" s="16">
        <f t="shared" si="0"/>
        <v>20.149999999999999</v>
      </c>
      <c r="AS15" s="16">
        <f t="shared" si="1"/>
        <v>29.2</v>
      </c>
      <c r="AT15" s="28"/>
      <c r="AV15" s="44" t="s">
        <v>49</v>
      </c>
      <c r="AW15" s="45">
        <f t="shared" si="5"/>
        <v>29.2</v>
      </c>
      <c r="AX15" s="45">
        <f>+AO15</f>
        <v>15</v>
      </c>
      <c r="AY15" s="45">
        <f t="shared" si="6"/>
        <v>-14.2</v>
      </c>
      <c r="AZ15" s="64">
        <f t="shared" si="3"/>
        <v>-48.630136986301373</v>
      </c>
    </row>
    <row r="16" spans="1:52" x14ac:dyDescent="0.25">
      <c r="A16" s="32" t="s">
        <v>50</v>
      </c>
      <c r="B16" s="33">
        <v>13</v>
      </c>
      <c r="C16" s="34">
        <v>16</v>
      </c>
      <c r="D16" s="34">
        <v>22</v>
      </c>
      <c r="E16" s="34">
        <v>20</v>
      </c>
      <c r="F16" s="34">
        <v>32</v>
      </c>
      <c r="G16" s="34">
        <v>27</v>
      </c>
      <c r="H16" s="34">
        <v>22</v>
      </c>
      <c r="I16" s="34">
        <v>14</v>
      </c>
      <c r="J16" s="34">
        <v>33</v>
      </c>
      <c r="K16" s="34">
        <v>23</v>
      </c>
      <c r="L16" s="34">
        <v>24</v>
      </c>
      <c r="M16" s="34">
        <v>29</v>
      </c>
      <c r="N16" s="34">
        <v>37</v>
      </c>
      <c r="O16" s="34">
        <v>28</v>
      </c>
      <c r="P16" s="34">
        <v>39</v>
      </c>
      <c r="Q16" s="35">
        <v>35</v>
      </c>
      <c r="R16" s="36">
        <v>30</v>
      </c>
      <c r="S16" s="36">
        <v>36</v>
      </c>
      <c r="T16" s="37">
        <v>33</v>
      </c>
      <c r="U16" s="37">
        <v>45</v>
      </c>
      <c r="V16" s="38">
        <v>47</v>
      </c>
      <c r="W16" s="39">
        <v>25</v>
      </c>
      <c r="X16" s="40">
        <v>35</v>
      </c>
      <c r="Y16" s="40">
        <v>54</v>
      </c>
      <c r="Z16" s="40">
        <v>48</v>
      </c>
      <c r="AA16" s="40">
        <v>25</v>
      </c>
      <c r="AB16" s="41">
        <v>16</v>
      </c>
      <c r="AC16" s="42">
        <v>32</v>
      </c>
      <c r="AD16" s="41">
        <v>29</v>
      </c>
      <c r="AE16" s="43">
        <v>46</v>
      </c>
      <c r="AF16" s="43">
        <v>69</v>
      </c>
      <c r="AG16" s="26">
        <v>59</v>
      </c>
      <c r="AH16" s="26">
        <v>28</v>
      </c>
      <c r="AI16" s="26">
        <v>35</v>
      </c>
      <c r="AJ16" s="26">
        <v>44</v>
      </c>
      <c r="AK16" s="26">
        <v>67</v>
      </c>
      <c r="AL16" s="26">
        <v>48</v>
      </c>
      <c r="AM16" s="26">
        <v>64</v>
      </c>
      <c r="AN16" s="26">
        <v>26</v>
      </c>
      <c r="AO16" s="26">
        <v>23</v>
      </c>
      <c r="AP16" s="27">
        <f t="shared" si="4"/>
        <v>1378</v>
      </c>
      <c r="AQ16" s="16">
        <f t="shared" si="0"/>
        <v>34.450000000000003</v>
      </c>
      <c r="AS16" s="16">
        <f t="shared" si="1"/>
        <v>45.6</v>
      </c>
      <c r="AT16" s="28"/>
      <c r="AV16" s="44" t="s">
        <v>50</v>
      </c>
      <c r="AW16" s="45">
        <f t="shared" si="5"/>
        <v>45.6</v>
      </c>
      <c r="AX16" s="45">
        <f>+AO16</f>
        <v>23</v>
      </c>
      <c r="AY16" s="45">
        <f t="shared" si="6"/>
        <v>-22.6</v>
      </c>
      <c r="AZ16" s="64">
        <f t="shared" si="3"/>
        <v>-49.561403508771932</v>
      </c>
    </row>
    <row r="17" spans="1:52" x14ac:dyDescent="0.25">
      <c r="A17" s="32" t="s">
        <v>51</v>
      </c>
      <c r="B17" s="33">
        <v>37</v>
      </c>
      <c r="C17" s="34">
        <v>24</v>
      </c>
      <c r="D17" s="34">
        <v>52</v>
      </c>
      <c r="E17" s="34">
        <v>39</v>
      </c>
      <c r="F17" s="34">
        <v>48</v>
      </c>
      <c r="G17" s="34">
        <v>32</v>
      </c>
      <c r="H17" s="34">
        <v>41</v>
      </c>
      <c r="I17" s="34">
        <v>22</v>
      </c>
      <c r="J17" s="34">
        <v>50</v>
      </c>
      <c r="K17" s="34">
        <v>26</v>
      </c>
      <c r="L17" s="34">
        <v>34</v>
      </c>
      <c r="M17" s="34">
        <v>56</v>
      </c>
      <c r="N17" s="34">
        <v>43</v>
      </c>
      <c r="O17" s="34">
        <v>43</v>
      </c>
      <c r="P17" s="34">
        <v>63</v>
      </c>
      <c r="Q17" s="35">
        <v>40</v>
      </c>
      <c r="R17" s="36">
        <v>38</v>
      </c>
      <c r="S17" s="36">
        <v>54</v>
      </c>
      <c r="T17" s="37">
        <v>651</v>
      </c>
      <c r="U17" s="37">
        <v>48</v>
      </c>
      <c r="V17" s="38">
        <v>63</v>
      </c>
      <c r="W17" s="39">
        <v>42</v>
      </c>
      <c r="X17" s="40">
        <v>41</v>
      </c>
      <c r="Y17" s="40">
        <v>61</v>
      </c>
      <c r="Z17" s="40">
        <v>69</v>
      </c>
      <c r="AA17" s="40">
        <v>41</v>
      </c>
      <c r="AB17" s="41">
        <v>38</v>
      </c>
      <c r="AC17" s="42">
        <v>47</v>
      </c>
      <c r="AD17" s="41">
        <v>49</v>
      </c>
      <c r="AE17" s="43">
        <v>63</v>
      </c>
      <c r="AF17" s="43">
        <v>121</v>
      </c>
      <c r="AG17" s="26">
        <v>75</v>
      </c>
      <c r="AH17" s="26">
        <v>50</v>
      </c>
      <c r="AI17" s="26">
        <v>75</v>
      </c>
      <c r="AJ17" s="26">
        <v>92</v>
      </c>
      <c r="AK17" s="26">
        <v>118</v>
      </c>
      <c r="AL17" s="26">
        <v>96</v>
      </c>
      <c r="AM17" s="26">
        <v>67</v>
      </c>
      <c r="AN17" s="26">
        <v>58</v>
      </c>
      <c r="AO17" s="26">
        <v>42</v>
      </c>
      <c r="AP17" s="27">
        <f t="shared" si="4"/>
        <v>2749</v>
      </c>
      <c r="AQ17" s="16">
        <f t="shared" si="0"/>
        <v>68.724999999999994</v>
      </c>
      <c r="AS17" s="16">
        <f t="shared" si="1"/>
        <v>76.2</v>
      </c>
      <c r="AT17" s="28"/>
      <c r="AV17" s="44" t="s">
        <v>51</v>
      </c>
      <c r="AW17" s="45">
        <f t="shared" si="5"/>
        <v>76.2</v>
      </c>
      <c r="AX17" s="45">
        <f>+AO17</f>
        <v>42</v>
      </c>
      <c r="AY17" s="45">
        <f t="shared" si="6"/>
        <v>-34.200000000000003</v>
      </c>
      <c r="AZ17" s="64">
        <f t="shared" si="3"/>
        <v>-44.881889763779533</v>
      </c>
    </row>
    <row r="18" spans="1:52" x14ac:dyDescent="0.25">
      <c r="A18" s="32" t="s">
        <v>52</v>
      </c>
      <c r="B18" s="33">
        <v>48</v>
      </c>
      <c r="C18" s="34">
        <v>58</v>
      </c>
      <c r="D18" s="34">
        <v>78</v>
      </c>
      <c r="E18" s="34">
        <v>73</v>
      </c>
      <c r="F18" s="34">
        <v>70</v>
      </c>
      <c r="G18" s="34">
        <v>51</v>
      </c>
      <c r="H18" s="34">
        <v>58</v>
      </c>
      <c r="I18" s="34">
        <v>37</v>
      </c>
      <c r="J18" s="34">
        <v>81</v>
      </c>
      <c r="K18" s="34">
        <v>74</v>
      </c>
      <c r="L18" s="34">
        <v>74</v>
      </c>
      <c r="M18" s="34">
        <v>93</v>
      </c>
      <c r="N18" s="34">
        <v>64</v>
      </c>
      <c r="O18" s="34">
        <v>71</v>
      </c>
      <c r="P18" s="34">
        <v>133</v>
      </c>
      <c r="Q18" s="35">
        <v>53</v>
      </c>
      <c r="R18" s="36">
        <v>66</v>
      </c>
      <c r="S18" s="36">
        <v>76</v>
      </c>
      <c r="T18" s="37">
        <v>74</v>
      </c>
      <c r="U18" s="37">
        <v>62</v>
      </c>
      <c r="V18" s="38">
        <v>67</v>
      </c>
      <c r="W18" s="39">
        <v>68</v>
      </c>
      <c r="X18" s="40">
        <v>62</v>
      </c>
      <c r="Y18" s="40">
        <v>80</v>
      </c>
      <c r="Z18" s="40">
        <v>110</v>
      </c>
      <c r="AA18" s="40">
        <v>60</v>
      </c>
      <c r="AB18" s="41">
        <v>53</v>
      </c>
      <c r="AC18" s="42">
        <v>54</v>
      </c>
      <c r="AD18" s="41">
        <v>65</v>
      </c>
      <c r="AE18" s="43">
        <v>105</v>
      </c>
      <c r="AF18" s="43">
        <v>156</v>
      </c>
      <c r="AG18" s="26">
        <v>101</v>
      </c>
      <c r="AH18" s="26">
        <v>57</v>
      </c>
      <c r="AI18" s="26">
        <v>104</v>
      </c>
      <c r="AJ18" s="26">
        <v>101</v>
      </c>
      <c r="AK18" s="26">
        <v>144</v>
      </c>
      <c r="AL18" s="26">
        <v>102</v>
      </c>
      <c r="AM18" s="26">
        <v>114</v>
      </c>
      <c r="AN18" s="26">
        <v>56</v>
      </c>
      <c r="AO18" s="26">
        <v>58</v>
      </c>
      <c r="AP18" s="27">
        <f t="shared" si="4"/>
        <v>3111</v>
      </c>
      <c r="AQ18" s="16">
        <f t="shared" si="0"/>
        <v>77.775000000000006</v>
      </c>
      <c r="AS18" s="16">
        <f t="shared" si="1"/>
        <v>94.8</v>
      </c>
      <c r="AT18" s="28"/>
      <c r="AV18" s="44" t="s">
        <v>52</v>
      </c>
      <c r="AW18" s="45">
        <f>+AS18</f>
        <v>94.8</v>
      </c>
      <c r="AX18" s="45">
        <f t="shared" si="2"/>
        <v>58</v>
      </c>
      <c r="AY18" s="45">
        <f t="shared" si="6"/>
        <v>-36.799999999999997</v>
      </c>
      <c r="AZ18" s="64">
        <f t="shared" si="3"/>
        <v>-38.81856540084388</v>
      </c>
    </row>
    <row r="19" spans="1:52" x14ac:dyDescent="0.25">
      <c r="A19" s="32" t="s">
        <v>53</v>
      </c>
      <c r="B19" s="33">
        <v>77</v>
      </c>
      <c r="C19" s="34">
        <v>90</v>
      </c>
      <c r="D19" s="34">
        <v>143</v>
      </c>
      <c r="E19" s="34">
        <v>169</v>
      </c>
      <c r="F19" s="34">
        <v>117</v>
      </c>
      <c r="G19" s="34">
        <v>94</v>
      </c>
      <c r="H19" s="34">
        <v>86</v>
      </c>
      <c r="I19" s="34">
        <v>72</v>
      </c>
      <c r="J19" s="34">
        <v>103</v>
      </c>
      <c r="K19" s="34">
        <v>134</v>
      </c>
      <c r="L19" s="34">
        <v>75</v>
      </c>
      <c r="M19" s="34">
        <v>114</v>
      </c>
      <c r="N19" s="34">
        <v>85</v>
      </c>
      <c r="O19" s="34">
        <v>96</v>
      </c>
      <c r="P19" s="34">
        <v>135</v>
      </c>
      <c r="Q19" s="35">
        <v>101</v>
      </c>
      <c r="R19" s="36">
        <v>95</v>
      </c>
      <c r="S19" s="36">
        <v>106</v>
      </c>
      <c r="T19" s="37">
        <v>108</v>
      </c>
      <c r="U19" s="37">
        <v>84</v>
      </c>
      <c r="V19" s="38">
        <v>100</v>
      </c>
      <c r="W19" s="39">
        <v>82</v>
      </c>
      <c r="X19" s="40">
        <v>89</v>
      </c>
      <c r="Y19" s="40">
        <v>112</v>
      </c>
      <c r="Z19" s="40">
        <v>100</v>
      </c>
      <c r="AA19" s="40">
        <v>58</v>
      </c>
      <c r="AB19" s="41">
        <v>80</v>
      </c>
      <c r="AC19" s="42">
        <v>99</v>
      </c>
      <c r="AD19" s="41">
        <v>80</v>
      </c>
      <c r="AE19" s="43">
        <v>105</v>
      </c>
      <c r="AF19" s="43">
        <v>169</v>
      </c>
      <c r="AG19" s="26">
        <v>103</v>
      </c>
      <c r="AH19" s="26">
        <v>86</v>
      </c>
      <c r="AI19" s="26">
        <v>115</v>
      </c>
      <c r="AJ19" s="26">
        <v>146</v>
      </c>
      <c r="AK19" s="26">
        <v>186</v>
      </c>
      <c r="AL19" s="26">
        <v>128</v>
      </c>
      <c r="AM19" s="26">
        <v>145</v>
      </c>
      <c r="AN19" s="26">
        <v>104</v>
      </c>
      <c r="AO19" s="26">
        <v>107</v>
      </c>
      <c r="AP19" s="27">
        <f t="shared" si="4"/>
        <v>4278</v>
      </c>
      <c r="AQ19" s="16">
        <f t="shared" si="0"/>
        <v>106.95</v>
      </c>
      <c r="AS19" s="16">
        <f t="shared" si="1"/>
        <v>134</v>
      </c>
      <c r="AT19" s="28"/>
      <c r="AV19" s="44" t="s">
        <v>53</v>
      </c>
      <c r="AW19" s="45">
        <f>+AS19</f>
        <v>134</v>
      </c>
      <c r="AX19" s="45">
        <f t="shared" si="2"/>
        <v>107</v>
      </c>
      <c r="AY19" s="45">
        <f t="shared" si="6"/>
        <v>-27</v>
      </c>
      <c r="AZ19" s="64">
        <f t="shared" si="3"/>
        <v>-20.149253731343283</v>
      </c>
    </row>
    <row r="20" spans="1:52" x14ac:dyDescent="0.25">
      <c r="A20" s="32" t="s">
        <v>54</v>
      </c>
      <c r="B20" s="33">
        <v>139</v>
      </c>
      <c r="C20" s="34">
        <v>154</v>
      </c>
      <c r="D20" s="34">
        <v>165</v>
      </c>
      <c r="E20" s="34">
        <v>199</v>
      </c>
      <c r="F20" s="34">
        <v>150</v>
      </c>
      <c r="G20" s="34">
        <v>129</v>
      </c>
      <c r="H20" s="34">
        <v>133</v>
      </c>
      <c r="I20" s="34">
        <v>113</v>
      </c>
      <c r="J20" s="34">
        <v>156</v>
      </c>
      <c r="K20" s="34">
        <v>163</v>
      </c>
      <c r="L20" s="34">
        <v>152</v>
      </c>
      <c r="M20" s="34">
        <v>163</v>
      </c>
      <c r="N20" s="34">
        <v>162</v>
      </c>
      <c r="O20" s="34">
        <v>123</v>
      </c>
      <c r="P20" s="34">
        <v>186</v>
      </c>
      <c r="Q20" s="35">
        <v>158</v>
      </c>
      <c r="R20" s="36">
        <v>128</v>
      </c>
      <c r="S20" s="36">
        <v>158</v>
      </c>
      <c r="T20" s="37">
        <v>180</v>
      </c>
      <c r="U20" s="37">
        <v>126</v>
      </c>
      <c r="V20" s="38">
        <v>160</v>
      </c>
      <c r="W20" s="39">
        <v>154</v>
      </c>
      <c r="X20" s="40">
        <v>119</v>
      </c>
      <c r="Y20" s="40">
        <v>157</v>
      </c>
      <c r="Z20" s="40">
        <v>128</v>
      </c>
      <c r="AA20" s="40">
        <v>108</v>
      </c>
      <c r="AB20" s="41">
        <v>113</v>
      </c>
      <c r="AC20" s="42">
        <v>157</v>
      </c>
      <c r="AD20" s="41">
        <v>106</v>
      </c>
      <c r="AE20" s="43">
        <v>152</v>
      </c>
      <c r="AF20" s="43">
        <v>229</v>
      </c>
      <c r="AG20" s="26">
        <v>182</v>
      </c>
      <c r="AH20" s="26">
        <v>135</v>
      </c>
      <c r="AI20" s="26">
        <v>158</v>
      </c>
      <c r="AJ20" s="26">
        <v>218</v>
      </c>
      <c r="AK20" s="26">
        <v>250</v>
      </c>
      <c r="AL20" s="26">
        <v>221</v>
      </c>
      <c r="AM20" s="26">
        <v>190</v>
      </c>
      <c r="AN20" s="26">
        <v>126</v>
      </c>
      <c r="AO20" s="26">
        <v>145</v>
      </c>
      <c r="AP20" s="27">
        <f t="shared" si="4"/>
        <v>6245</v>
      </c>
      <c r="AQ20" s="16">
        <f t="shared" si="0"/>
        <v>156.125</v>
      </c>
      <c r="AS20" s="16">
        <f t="shared" si="1"/>
        <v>186.4</v>
      </c>
      <c r="AT20" s="28"/>
      <c r="AV20" s="44" t="s">
        <v>54</v>
      </c>
      <c r="AW20" s="45">
        <f>+AS20</f>
        <v>186.4</v>
      </c>
      <c r="AX20" s="45">
        <f t="shared" si="2"/>
        <v>145</v>
      </c>
      <c r="AY20" s="45">
        <f t="shared" si="6"/>
        <v>-41.400000000000006</v>
      </c>
      <c r="AZ20" s="64">
        <f t="shared" si="3"/>
        <v>-22.210300429184553</v>
      </c>
    </row>
    <row r="21" spans="1:52" x14ac:dyDescent="0.25">
      <c r="A21" s="32" t="s">
        <v>55</v>
      </c>
      <c r="B21" s="33">
        <v>238</v>
      </c>
      <c r="C21" s="34">
        <v>259</v>
      </c>
      <c r="D21" s="34">
        <v>252</v>
      </c>
      <c r="E21" s="34">
        <v>310</v>
      </c>
      <c r="F21" s="34">
        <v>262</v>
      </c>
      <c r="G21" s="34">
        <v>194</v>
      </c>
      <c r="H21" s="34">
        <v>238</v>
      </c>
      <c r="I21" s="34">
        <v>154</v>
      </c>
      <c r="J21" s="34">
        <v>250</v>
      </c>
      <c r="K21" s="34">
        <v>242</v>
      </c>
      <c r="L21" s="34">
        <v>222</v>
      </c>
      <c r="M21" s="34">
        <v>245</v>
      </c>
      <c r="N21" s="34">
        <v>249</v>
      </c>
      <c r="O21" s="34">
        <v>193</v>
      </c>
      <c r="P21" s="34">
        <v>299</v>
      </c>
      <c r="Q21" s="35">
        <v>210</v>
      </c>
      <c r="R21" s="36">
        <v>206</v>
      </c>
      <c r="S21" s="36">
        <v>286</v>
      </c>
      <c r="T21" s="37">
        <v>305</v>
      </c>
      <c r="U21" s="37">
        <v>228</v>
      </c>
      <c r="V21" s="38">
        <v>275</v>
      </c>
      <c r="W21" s="39">
        <v>170</v>
      </c>
      <c r="X21" s="40">
        <v>211</v>
      </c>
      <c r="Y21" s="40">
        <v>282</v>
      </c>
      <c r="Z21" s="40">
        <v>228</v>
      </c>
      <c r="AA21" s="40">
        <v>160</v>
      </c>
      <c r="AB21" s="41">
        <v>220</v>
      </c>
      <c r="AC21" s="42">
        <v>225</v>
      </c>
      <c r="AD21" s="41">
        <v>200</v>
      </c>
      <c r="AE21" s="43">
        <v>252</v>
      </c>
      <c r="AF21" s="43">
        <v>344</v>
      </c>
      <c r="AG21" s="26">
        <v>217</v>
      </c>
      <c r="AH21" s="26">
        <v>239</v>
      </c>
      <c r="AI21" s="26">
        <v>243</v>
      </c>
      <c r="AJ21" s="26">
        <v>299</v>
      </c>
      <c r="AK21" s="26">
        <v>402</v>
      </c>
      <c r="AL21" s="26">
        <v>316</v>
      </c>
      <c r="AM21" s="26">
        <v>270</v>
      </c>
      <c r="AN21" s="26">
        <v>193</v>
      </c>
      <c r="AO21" s="26">
        <v>262</v>
      </c>
      <c r="AP21" s="27">
        <f t="shared" si="4"/>
        <v>9850</v>
      </c>
      <c r="AQ21" s="16">
        <f t="shared" si="0"/>
        <v>246.25</v>
      </c>
      <c r="AS21" s="16">
        <f t="shared" si="1"/>
        <v>288.60000000000002</v>
      </c>
      <c r="AT21" s="28"/>
      <c r="AV21" s="44" t="s">
        <v>55</v>
      </c>
      <c r="AW21" s="45">
        <f t="shared" si="5"/>
        <v>288.60000000000002</v>
      </c>
      <c r="AX21" s="45">
        <f t="shared" si="2"/>
        <v>262</v>
      </c>
      <c r="AY21" s="45">
        <f t="shared" si="6"/>
        <v>-26.600000000000023</v>
      </c>
      <c r="AZ21" s="64">
        <f t="shared" si="3"/>
        <v>-9.2169092169092242</v>
      </c>
    </row>
    <row r="22" spans="1:52" x14ac:dyDescent="0.25">
      <c r="A22" s="32" t="s">
        <v>56</v>
      </c>
      <c r="B22" s="33">
        <v>341</v>
      </c>
      <c r="C22" s="34">
        <v>281</v>
      </c>
      <c r="D22" s="34">
        <v>358</v>
      </c>
      <c r="E22" s="34">
        <v>339</v>
      </c>
      <c r="F22" s="34">
        <v>422</v>
      </c>
      <c r="G22" s="34">
        <v>279</v>
      </c>
      <c r="H22" s="34">
        <v>295</v>
      </c>
      <c r="I22" s="34">
        <v>267</v>
      </c>
      <c r="J22" s="34">
        <v>352</v>
      </c>
      <c r="K22" s="34">
        <v>361</v>
      </c>
      <c r="L22" s="34">
        <v>347</v>
      </c>
      <c r="M22" s="34">
        <v>352</v>
      </c>
      <c r="N22" s="34">
        <v>362</v>
      </c>
      <c r="O22" s="34">
        <v>302</v>
      </c>
      <c r="P22" s="34">
        <v>389</v>
      </c>
      <c r="Q22" s="35">
        <v>280</v>
      </c>
      <c r="R22" s="36">
        <v>303</v>
      </c>
      <c r="S22" s="36">
        <v>339</v>
      </c>
      <c r="T22" s="37">
        <v>435</v>
      </c>
      <c r="U22" s="37">
        <v>376</v>
      </c>
      <c r="V22" s="38">
        <v>438</v>
      </c>
      <c r="W22" s="39">
        <v>343</v>
      </c>
      <c r="X22" s="40">
        <v>298</v>
      </c>
      <c r="Y22" s="40">
        <v>396</v>
      </c>
      <c r="Z22" s="40">
        <v>361</v>
      </c>
      <c r="AA22" s="40">
        <v>246</v>
      </c>
      <c r="AB22" s="41">
        <v>289</v>
      </c>
      <c r="AC22" s="42">
        <v>303</v>
      </c>
      <c r="AD22" s="41">
        <v>344</v>
      </c>
      <c r="AE22" s="43">
        <v>336</v>
      </c>
      <c r="AF22" s="43">
        <v>430</v>
      </c>
      <c r="AG22" s="26">
        <v>372</v>
      </c>
      <c r="AH22" s="26">
        <v>326</v>
      </c>
      <c r="AI22" s="26">
        <v>384</v>
      </c>
      <c r="AJ22" s="26">
        <v>428</v>
      </c>
      <c r="AK22" s="26">
        <v>493</v>
      </c>
      <c r="AL22" s="26">
        <v>415</v>
      </c>
      <c r="AM22" s="26">
        <v>414</v>
      </c>
      <c r="AN22" s="26">
        <v>288</v>
      </c>
      <c r="AO22" s="26">
        <v>366</v>
      </c>
      <c r="AP22" s="27">
        <f t="shared" si="4"/>
        <v>14050</v>
      </c>
      <c r="AQ22" s="16">
        <f t="shared" si="0"/>
        <v>351.25</v>
      </c>
      <c r="AS22" s="16">
        <f t="shared" si="1"/>
        <v>395.2</v>
      </c>
      <c r="AT22" s="28"/>
      <c r="AV22" s="44" t="s">
        <v>56</v>
      </c>
      <c r="AW22" s="45">
        <f t="shared" si="5"/>
        <v>395.2</v>
      </c>
      <c r="AX22" s="45">
        <f t="shared" si="2"/>
        <v>366</v>
      </c>
      <c r="AY22" s="45">
        <f t="shared" si="6"/>
        <v>-29.199999999999989</v>
      </c>
      <c r="AZ22" s="64">
        <f t="shared" si="3"/>
        <v>-7.3886639676113344</v>
      </c>
    </row>
    <row r="23" spans="1:52" x14ac:dyDescent="0.25">
      <c r="A23" s="32" t="s">
        <v>57</v>
      </c>
      <c r="B23" s="33">
        <v>495</v>
      </c>
      <c r="C23" s="34">
        <v>626</v>
      </c>
      <c r="D23" s="34">
        <v>467</v>
      </c>
      <c r="E23" s="34">
        <v>508</v>
      </c>
      <c r="F23" s="34">
        <v>543</v>
      </c>
      <c r="G23" s="34">
        <v>392</v>
      </c>
      <c r="H23" s="34">
        <v>406</v>
      </c>
      <c r="I23" s="34">
        <v>405</v>
      </c>
      <c r="J23" s="34">
        <v>511</v>
      </c>
      <c r="K23" s="34">
        <v>549</v>
      </c>
      <c r="L23" s="34">
        <v>444</v>
      </c>
      <c r="M23" s="34">
        <v>528</v>
      </c>
      <c r="N23" s="34">
        <v>525</v>
      </c>
      <c r="O23" s="34">
        <v>501</v>
      </c>
      <c r="P23" s="34">
        <v>568</v>
      </c>
      <c r="Q23" s="35">
        <v>451</v>
      </c>
      <c r="R23" s="36">
        <v>422</v>
      </c>
      <c r="S23" s="36">
        <v>503</v>
      </c>
      <c r="T23" s="37">
        <v>600</v>
      </c>
      <c r="U23" s="37">
        <v>527</v>
      </c>
      <c r="V23" s="38">
        <v>574</v>
      </c>
      <c r="W23" s="39">
        <v>438</v>
      </c>
      <c r="X23" s="40">
        <v>443</v>
      </c>
      <c r="Y23" s="40">
        <v>595</v>
      </c>
      <c r="Z23" s="40">
        <v>510</v>
      </c>
      <c r="AA23" s="40">
        <v>377</v>
      </c>
      <c r="AB23" s="41">
        <v>485</v>
      </c>
      <c r="AC23" s="42">
        <v>444</v>
      </c>
      <c r="AD23" s="41">
        <v>463</v>
      </c>
      <c r="AE23" s="43">
        <v>548</v>
      </c>
      <c r="AF23" s="43">
        <v>671</v>
      </c>
      <c r="AG23" s="26">
        <v>507</v>
      </c>
      <c r="AH23" s="26">
        <v>428</v>
      </c>
      <c r="AI23" s="26">
        <v>559</v>
      </c>
      <c r="AJ23" s="26">
        <v>617</v>
      </c>
      <c r="AK23" s="26">
        <v>650</v>
      </c>
      <c r="AL23" s="26">
        <v>543</v>
      </c>
      <c r="AM23" s="26">
        <v>563</v>
      </c>
      <c r="AN23" s="26">
        <v>498</v>
      </c>
      <c r="AO23" s="26">
        <v>456</v>
      </c>
      <c r="AP23" s="27">
        <f t="shared" si="4"/>
        <v>20340</v>
      </c>
      <c r="AQ23" s="16">
        <f t="shared" si="0"/>
        <v>508.5</v>
      </c>
      <c r="AS23" s="16">
        <f t="shared" si="1"/>
        <v>542</v>
      </c>
      <c r="AT23" s="28"/>
      <c r="AV23" s="44" t="s">
        <v>57</v>
      </c>
      <c r="AW23" s="45">
        <f t="shared" si="5"/>
        <v>542</v>
      </c>
      <c r="AX23" s="45">
        <f t="shared" si="2"/>
        <v>456</v>
      </c>
      <c r="AY23" s="45">
        <f t="shared" si="6"/>
        <v>-86</v>
      </c>
      <c r="AZ23" s="64">
        <f t="shared" si="3"/>
        <v>-15.867158671586715</v>
      </c>
    </row>
    <row r="24" spans="1:52" x14ac:dyDescent="0.25">
      <c r="A24" s="32" t="s">
        <v>58</v>
      </c>
      <c r="B24" s="33">
        <v>725</v>
      </c>
      <c r="C24" s="34">
        <v>841</v>
      </c>
      <c r="D24" s="34">
        <v>685</v>
      </c>
      <c r="E24" s="34">
        <v>714</v>
      </c>
      <c r="F24" s="34">
        <v>667</v>
      </c>
      <c r="G24" s="34">
        <v>459</v>
      </c>
      <c r="H24" s="34">
        <v>592</v>
      </c>
      <c r="I24" s="34">
        <v>525</v>
      </c>
      <c r="J24" s="34">
        <v>667</v>
      </c>
      <c r="K24" s="34">
        <v>682</v>
      </c>
      <c r="L24" s="34">
        <v>611</v>
      </c>
      <c r="M24" s="34">
        <v>639</v>
      </c>
      <c r="N24" s="34">
        <v>576</v>
      </c>
      <c r="O24" s="34">
        <v>616</v>
      </c>
      <c r="P24" s="34">
        <v>774</v>
      </c>
      <c r="Q24" s="35">
        <v>542</v>
      </c>
      <c r="R24" s="36">
        <v>565</v>
      </c>
      <c r="S24" s="36">
        <v>738</v>
      </c>
      <c r="T24" s="37">
        <v>834</v>
      </c>
      <c r="U24" s="37">
        <v>742</v>
      </c>
      <c r="V24" s="38">
        <v>748</v>
      </c>
      <c r="W24" s="39">
        <v>615</v>
      </c>
      <c r="X24" s="40">
        <v>542</v>
      </c>
      <c r="Y24" s="40">
        <v>766</v>
      </c>
      <c r="Z24" s="40">
        <v>737</v>
      </c>
      <c r="AA24" s="40">
        <v>468</v>
      </c>
      <c r="AB24" s="41">
        <v>560</v>
      </c>
      <c r="AC24" s="42">
        <v>659</v>
      </c>
      <c r="AD24" s="41">
        <v>598</v>
      </c>
      <c r="AE24" s="43">
        <v>679</v>
      </c>
      <c r="AF24" s="43">
        <v>829</v>
      </c>
      <c r="AG24" s="26">
        <v>734</v>
      </c>
      <c r="AH24" s="26">
        <v>617</v>
      </c>
      <c r="AI24" s="26">
        <v>635</v>
      </c>
      <c r="AJ24" s="26">
        <v>776</v>
      </c>
      <c r="AK24" s="26">
        <v>842</v>
      </c>
      <c r="AL24" s="26">
        <v>748</v>
      </c>
      <c r="AM24" s="26">
        <v>714</v>
      </c>
      <c r="AN24" s="26">
        <v>576</v>
      </c>
      <c r="AO24" s="26">
        <v>627</v>
      </c>
      <c r="AP24" s="27">
        <f t="shared" si="4"/>
        <v>26664</v>
      </c>
      <c r="AQ24" s="16">
        <f t="shared" si="0"/>
        <v>666.6</v>
      </c>
      <c r="AS24" s="16">
        <f t="shared" si="1"/>
        <v>701.4</v>
      </c>
      <c r="AT24" s="28"/>
      <c r="AV24" s="44" t="s">
        <v>58</v>
      </c>
      <c r="AW24" s="45">
        <f t="shared" si="5"/>
        <v>701.4</v>
      </c>
      <c r="AX24" s="45">
        <f t="shared" si="2"/>
        <v>627</v>
      </c>
      <c r="AY24" s="45">
        <f t="shared" si="6"/>
        <v>-74.399999999999977</v>
      </c>
      <c r="AZ24" s="64">
        <f t="shared" si="3"/>
        <v>-10.607356715141144</v>
      </c>
    </row>
    <row r="25" spans="1:52" x14ac:dyDescent="0.25">
      <c r="A25" s="32" t="s">
        <v>59</v>
      </c>
      <c r="B25" s="33">
        <v>833</v>
      </c>
      <c r="C25" s="34">
        <v>848</v>
      </c>
      <c r="D25" s="34">
        <v>791</v>
      </c>
      <c r="E25" s="34">
        <v>694</v>
      </c>
      <c r="F25" s="34">
        <v>689</v>
      </c>
      <c r="G25" s="34">
        <v>533</v>
      </c>
      <c r="H25" s="34">
        <v>672</v>
      </c>
      <c r="I25" s="34">
        <v>610</v>
      </c>
      <c r="J25" s="34">
        <v>755</v>
      </c>
      <c r="K25" s="34">
        <v>816</v>
      </c>
      <c r="L25" s="34">
        <v>709</v>
      </c>
      <c r="M25" s="34">
        <v>835</v>
      </c>
      <c r="N25" s="34">
        <v>671</v>
      </c>
      <c r="O25" s="34">
        <v>680</v>
      </c>
      <c r="P25" s="34">
        <v>883</v>
      </c>
      <c r="Q25" s="35">
        <v>667</v>
      </c>
      <c r="R25" s="36">
        <v>660</v>
      </c>
      <c r="S25" s="36">
        <v>896</v>
      </c>
      <c r="T25" s="37">
        <v>857</v>
      </c>
      <c r="U25" s="37">
        <v>812</v>
      </c>
      <c r="V25" s="38">
        <v>916</v>
      </c>
      <c r="W25" s="39">
        <v>709</v>
      </c>
      <c r="X25" s="40">
        <v>725</v>
      </c>
      <c r="Y25" s="40">
        <v>877</v>
      </c>
      <c r="Z25" s="40">
        <v>786</v>
      </c>
      <c r="AA25" s="40">
        <v>570</v>
      </c>
      <c r="AB25" s="41">
        <v>705</v>
      </c>
      <c r="AC25" s="42">
        <v>693</v>
      </c>
      <c r="AD25" s="41">
        <v>697</v>
      </c>
      <c r="AE25" s="43">
        <v>766</v>
      </c>
      <c r="AF25" s="43">
        <v>977</v>
      </c>
      <c r="AG25" s="26">
        <v>827</v>
      </c>
      <c r="AH25" s="26">
        <v>698</v>
      </c>
      <c r="AI25" s="26">
        <v>754</v>
      </c>
      <c r="AJ25" s="26">
        <v>899</v>
      </c>
      <c r="AK25" s="26">
        <v>903</v>
      </c>
      <c r="AL25" s="26">
        <v>840</v>
      </c>
      <c r="AM25" s="26">
        <v>789</v>
      </c>
      <c r="AN25" s="26">
        <v>727</v>
      </c>
      <c r="AO25" s="26">
        <v>749</v>
      </c>
      <c r="AP25" s="27">
        <f t="shared" si="4"/>
        <v>30518</v>
      </c>
      <c r="AQ25" s="16">
        <f t="shared" si="0"/>
        <v>762.95</v>
      </c>
      <c r="AS25" s="16">
        <f t="shared" si="1"/>
        <v>801.6</v>
      </c>
      <c r="AT25" s="28"/>
      <c r="AV25" s="44" t="s">
        <v>59</v>
      </c>
      <c r="AW25" s="45">
        <f t="shared" si="5"/>
        <v>801.6</v>
      </c>
      <c r="AX25" s="45">
        <f t="shared" si="2"/>
        <v>749</v>
      </c>
      <c r="AY25" s="45">
        <f t="shared" si="6"/>
        <v>-52.600000000000023</v>
      </c>
      <c r="AZ25" s="64">
        <f t="shared" si="3"/>
        <v>-6.5618762475049923</v>
      </c>
    </row>
    <row r="26" spans="1:52" x14ac:dyDescent="0.25">
      <c r="A26" s="32" t="s">
        <v>60</v>
      </c>
      <c r="B26" s="33">
        <v>662</v>
      </c>
      <c r="C26" s="34">
        <v>703</v>
      </c>
      <c r="D26" s="34">
        <v>671</v>
      </c>
      <c r="E26" s="34">
        <v>655</v>
      </c>
      <c r="F26" s="34">
        <v>618</v>
      </c>
      <c r="G26" s="34">
        <v>538</v>
      </c>
      <c r="H26" s="34">
        <v>678</v>
      </c>
      <c r="I26" s="34">
        <v>678</v>
      </c>
      <c r="J26" s="34">
        <v>728</v>
      </c>
      <c r="K26" s="34">
        <v>691</v>
      </c>
      <c r="L26" s="34">
        <v>660</v>
      </c>
      <c r="M26" s="34">
        <v>698</v>
      </c>
      <c r="N26" s="34">
        <v>673</v>
      </c>
      <c r="O26" s="34">
        <v>636</v>
      </c>
      <c r="P26" s="34">
        <v>814</v>
      </c>
      <c r="Q26" s="35">
        <v>627</v>
      </c>
      <c r="R26" s="36">
        <v>694</v>
      </c>
      <c r="S26" s="36">
        <v>794</v>
      </c>
      <c r="T26" s="37">
        <v>886</v>
      </c>
      <c r="U26" s="37">
        <v>840</v>
      </c>
      <c r="V26" s="38">
        <v>798</v>
      </c>
      <c r="W26" s="39">
        <v>660</v>
      </c>
      <c r="X26" s="40">
        <v>644</v>
      </c>
      <c r="Y26" s="40">
        <v>860</v>
      </c>
      <c r="Z26" s="40">
        <v>754</v>
      </c>
      <c r="AA26" s="40">
        <v>533</v>
      </c>
      <c r="AB26" s="41">
        <v>666</v>
      </c>
      <c r="AC26" s="42">
        <v>692</v>
      </c>
      <c r="AD26" s="41">
        <v>711</v>
      </c>
      <c r="AE26" s="43">
        <v>812</v>
      </c>
      <c r="AF26" s="43">
        <v>994</v>
      </c>
      <c r="AG26" s="26">
        <v>826</v>
      </c>
      <c r="AH26" s="26">
        <v>659</v>
      </c>
      <c r="AI26" s="26">
        <v>762</v>
      </c>
      <c r="AJ26" s="26">
        <v>877</v>
      </c>
      <c r="AK26" s="26">
        <v>836</v>
      </c>
      <c r="AL26" s="26">
        <v>757</v>
      </c>
      <c r="AM26" s="26">
        <v>771</v>
      </c>
      <c r="AN26" s="26">
        <v>867</v>
      </c>
      <c r="AO26" s="26">
        <v>700</v>
      </c>
      <c r="AP26" s="27">
        <f t="shared" si="4"/>
        <v>29123</v>
      </c>
      <c r="AQ26" s="16">
        <f t="shared" si="0"/>
        <v>728.07500000000005</v>
      </c>
      <c r="AS26" s="16">
        <f t="shared" si="1"/>
        <v>786.2</v>
      </c>
      <c r="AT26" s="28"/>
      <c r="AV26" s="44" t="s">
        <v>60</v>
      </c>
      <c r="AW26" s="45">
        <f t="shared" si="5"/>
        <v>786.2</v>
      </c>
      <c r="AX26" s="45">
        <f t="shared" si="2"/>
        <v>700</v>
      </c>
      <c r="AY26" s="45">
        <f t="shared" si="6"/>
        <v>-86.200000000000045</v>
      </c>
      <c r="AZ26" s="64">
        <f t="shared" si="3"/>
        <v>-10.964131264309341</v>
      </c>
    </row>
    <row r="27" spans="1:52" x14ac:dyDescent="0.25">
      <c r="A27" s="32" t="s">
        <v>61</v>
      </c>
      <c r="B27" s="33">
        <v>558</v>
      </c>
      <c r="C27" s="34">
        <v>531</v>
      </c>
      <c r="D27" s="34">
        <v>472</v>
      </c>
      <c r="E27" s="34">
        <v>477</v>
      </c>
      <c r="F27" s="34">
        <v>471</v>
      </c>
      <c r="G27" s="34">
        <v>384</v>
      </c>
      <c r="H27" s="34">
        <v>512</v>
      </c>
      <c r="I27" s="34">
        <v>514</v>
      </c>
      <c r="J27" s="34">
        <v>618</v>
      </c>
      <c r="K27" s="34">
        <v>626</v>
      </c>
      <c r="L27" s="34">
        <v>560</v>
      </c>
      <c r="M27" s="34">
        <v>649</v>
      </c>
      <c r="N27" s="34">
        <v>546</v>
      </c>
      <c r="O27" s="34">
        <v>617</v>
      </c>
      <c r="P27" s="34">
        <v>721</v>
      </c>
      <c r="Q27" s="35">
        <v>537</v>
      </c>
      <c r="R27" s="36">
        <v>602</v>
      </c>
      <c r="S27" s="36">
        <v>761</v>
      </c>
      <c r="T27" s="37">
        <v>752</v>
      </c>
      <c r="U27" s="37">
        <v>696</v>
      </c>
      <c r="V27" s="38">
        <v>703</v>
      </c>
      <c r="W27" s="39">
        <v>582</v>
      </c>
      <c r="X27" s="40">
        <v>565</v>
      </c>
      <c r="Y27" s="40">
        <v>784</v>
      </c>
      <c r="Z27" s="40">
        <v>659</v>
      </c>
      <c r="AA27" s="40">
        <v>424</v>
      </c>
      <c r="AB27" s="41">
        <v>523</v>
      </c>
      <c r="AC27" s="42">
        <v>602</v>
      </c>
      <c r="AD27" s="41">
        <v>632</v>
      </c>
      <c r="AE27" s="43">
        <v>683</v>
      </c>
      <c r="AF27" s="43">
        <v>799</v>
      </c>
      <c r="AG27" s="26">
        <v>811</v>
      </c>
      <c r="AH27" s="26">
        <v>544</v>
      </c>
      <c r="AI27" s="26">
        <v>643</v>
      </c>
      <c r="AJ27" s="26">
        <v>744</v>
      </c>
      <c r="AK27" s="26">
        <v>814</v>
      </c>
      <c r="AL27" s="26">
        <v>684</v>
      </c>
      <c r="AM27" s="26">
        <v>653</v>
      </c>
      <c r="AN27" s="26">
        <v>809</v>
      </c>
      <c r="AO27" s="26">
        <v>599</v>
      </c>
      <c r="AP27" s="27">
        <f t="shared" si="4"/>
        <v>24861</v>
      </c>
      <c r="AQ27" s="16">
        <f t="shared" si="0"/>
        <v>621.52499999999998</v>
      </c>
      <c r="AS27" s="16">
        <f t="shared" si="1"/>
        <v>711.8</v>
      </c>
      <c r="AT27" s="28"/>
      <c r="AV27" s="44" t="s">
        <v>61</v>
      </c>
      <c r="AW27" s="45">
        <f t="shared" si="5"/>
        <v>711.8</v>
      </c>
      <c r="AX27" s="45">
        <f t="shared" si="2"/>
        <v>599</v>
      </c>
      <c r="AY27" s="45">
        <f t="shared" si="6"/>
        <v>-112.79999999999995</v>
      </c>
      <c r="AZ27" s="64">
        <f t="shared" si="3"/>
        <v>-15.847148075302046</v>
      </c>
    </row>
    <row r="28" spans="1:52" x14ac:dyDescent="0.25">
      <c r="A28" s="32" t="s">
        <v>62</v>
      </c>
      <c r="B28" s="33">
        <v>424</v>
      </c>
      <c r="C28" s="34">
        <v>360</v>
      </c>
      <c r="D28" s="34">
        <v>347</v>
      </c>
      <c r="E28" s="34">
        <v>320</v>
      </c>
      <c r="F28" s="34">
        <v>366</v>
      </c>
      <c r="G28" s="34">
        <v>292</v>
      </c>
      <c r="H28" s="34">
        <v>455</v>
      </c>
      <c r="I28" s="34">
        <v>408</v>
      </c>
      <c r="J28" s="34">
        <v>445</v>
      </c>
      <c r="K28" s="34">
        <v>474</v>
      </c>
      <c r="L28" s="34">
        <v>431</v>
      </c>
      <c r="M28" s="34">
        <v>406</v>
      </c>
      <c r="N28" s="34">
        <v>388</v>
      </c>
      <c r="O28" s="34">
        <v>422</v>
      </c>
      <c r="P28" s="34">
        <v>511</v>
      </c>
      <c r="Q28" s="35">
        <v>432</v>
      </c>
      <c r="R28" s="36">
        <v>442</v>
      </c>
      <c r="S28" s="36">
        <v>596</v>
      </c>
      <c r="T28" s="37">
        <v>557</v>
      </c>
      <c r="U28" s="37">
        <v>528</v>
      </c>
      <c r="V28" s="38">
        <v>548</v>
      </c>
      <c r="W28" s="39">
        <v>489</v>
      </c>
      <c r="X28" s="40">
        <v>451</v>
      </c>
      <c r="Y28" s="40">
        <v>554</v>
      </c>
      <c r="Z28" s="40">
        <v>502</v>
      </c>
      <c r="AA28" s="40">
        <v>317</v>
      </c>
      <c r="AB28" s="41">
        <v>423</v>
      </c>
      <c r="AC28" s="42">
        <v>456</v>
      </c>
      <c r="AD28" s="41">
        <v>514</v>
      </c>
      <c r="AE28" s="43">
        <v>588</v>
      </c>
      <c r="AF28" s="43">
        <v>582</v>
      </c>
      <c r="AG28" s="26">
        <v>531</v>
      </c>
      <c r="AH28" s="26">
        <v>415</v>
      </c>
      <c r="AI28" s="26">
        <v>443</v>
      </c>
      <c r="AJ28" s="26">
        <v>581</v>
      </c>
      <c r="AK28" s="26">
        <v>603</v>
      </c>
      <c r="AL28" s="26">
        <v>581</v>
      </c>
      <c r="AM28" s="26">
        <v>538</v>
      </c>
      <c r="AN28" s="26">
        <v>698</v>
      </c>
      <c r="AO28" s="26">
        <v>464</v>
      </c>
      <c r="AP28" s="27">
        <f t="shared" si="4"/>
        <v>18882</v>
      </c>
      <c r="AQ28" s="16">
        <f t="shared" si="0"/>
        <v>472.05</v>
      </c>
      <c r="AS28" s="16">
        <f t="shared" si="1"/>
        <v>576.79999999999995</v>
      </c>
      <c r="AT28" s="28"/>
      <c r="AV28" s="44" t="s">
        <v>62</v>
      </c>
      <c r="AW28" s="45">
        <f t="shared" si="5"/>
        <v>576.79999999999995</v>
      </c>
      <c r="AX28" s="45">
        <f t="shared" si="2"/>
        <v>464</v>
      </c>
      <c r="AY28" s="45">
        <f t="shared" si="6"/>
        <v>-112.79999999999995</v>
      </c>
      <c r="AZ28" s="64">
        <f t="shared" si="3"/>
        <v>-19.556171983356446</v>
      </c>
    </row>
    <row r="29" spans="1:52" x14ac:dyDescent="0.25">
      <c r="A29" s="32" t="s">
        <v>63</v>
      </c>
      <c r="B29" s="33">
        <v>254</v>
      </c>
      <c r="C29" s="34">
        <v>214</v>
      </c>
      <c r="D29" s="34">
        <v>260</v>
      </c>
      <c r="E29" s="34">
        <v>215</v>
      </c>
      <c r="F29" s="34">
        <v>267</v>
      </c>
      <c r="G29" s="34">
        <v>197</v>
      </c>
      <c r="H29" s="34">
        <v>285</v>
      </c>
      <c r="I29" s="34">
        <v>269</v>
      </c>
      <c r="J29" s="34">
        <v>338</v>
      </c>
      <c r="K29" s="34">
        <v>335</v>
      </c>
      <c r="L29" s="34">
        <v>280</v>
      </c>
      <c r="M29" s="34">
        <v>320</v>
      </c>
      <c r="N29" s="34">
        <v>263</v>
      </c>
      <c r="O29" s="34">
        <v>287</v>
      </c>
      <c r="P29" s="34">
        <v>359</v>
      </c>
      <c r="Q29" s="35">
        <v>310</v>
      </c>
      <c r="R29" s="36">
        <v>316</v>
      </c>
      <c r="S29" s="36">
        <v>409</v>
      </c>
      <c r="T29" s="37">
        <v>405</v>
      </c>
      <c r="U29" s="37">
        <v>365</v>
      </c>
      <c r="V29" s="38">
        <v>319</v>
      </c>
      <c r="W29" s="39">
        <v>313</v>
      </c>
      <c r="X29" s="40">
        <v>296</v>
      </c>
      <c r="Y29" s="40">
        <v>403</v>
      </c>
      <c r="Z29" s="40">
        <v>317</v>
      </c>
      <c r="AA29" s="40">
        <v>200</v>
      </c>
      <c r="AB29" s="41">
        <v>230</v>
      </c>
      <c r="AC29" s="42">
        <v>313</v>
      </c>
      <c r="AD29" s="41">
        <v>344</v>
      </c>
      <c r="AE29" s="43">
        <v>351</v>
      </c>
      <c r="AF29" s="43">
        <v>455</v>
      </c>
      <c r="AG29" s="26">
        <v>362</v>
      </c>
      <c r="AH29" s="26">
        <v>243</v>
      </c>
      <c r="AI29" s="26">
        <v>310</v>
      </c>
      <c r="AJ29" s="26">
        <v>370</v>
      </c>
      <c r="AK29" s="26">
        <v>401</v>
      </c>
      <c r="AL29" s="26">
        <v>393</v>
      </c>
      <c r="AM29" s="26">
        <v>371</v>
      </c>
      <c r="AN29" s="26">
        <v>552</v>
      </c>
      <c r="AO29" s="26">
        <v>324</v>
      </c>
      <c r="AP29" s="27">
        <f t="shared" si="4"/>
        <v>12815</v>
      </c>
      <c r="AQ29" s="16">
        <f t="shared" si="0"/>
        <v>320.375</v>
      </c>
      <c r="AS29" s="16">
        <f t="shared" si="1"/>
        <v>408.2</v>
      </c>
      <c r="AT29" s="28"/>
      <c r="AV29" s="44" t="s">
        <v>63</v>
      </c>
      <c r="AW29" s="45">
        <f t="shared" si="5"/>
        <v>408.2</v>
      </c>
      <c r="AX29" s="45">
        <f t="shared" si="2"/>
        <v>324</v>
      </c>
      <c r="AY29" s="45">
        <f t="shared" si="6"/>
        <v>-84.199999999999989</v>
      </c>
      <c r="AZ29" s="64">
        <f t="shared" si="3"/>
        <v>-20.627143557079858</v>
      </c>
    </row>
    <row r="30" spans="1:52" x14ac:dyDescent="0.25">
      <c r="A30" s="32" t="s">
        <v>64</v>
      </c>
      <c r="B30" s="33">
        <v>136</v>
      </c>
      <c r="C30" s="34">
        <v>132</v>
      </c>
      <c r="D30" s="34">
        <v>123</v>
      </c>
      <c r="E30" s="34">
        <v>134</v>
      </c>
      <c r="F30" s="34">
        <v>154</v>
      </c>
      <c r="G30" s="34">
        <v>155</v>
      </c>
      <c r="H30" s="34">
        <v>177</v>
      </c>
      <c r="I30" s="34">
        <v>209</v>
      </c>
      <c r="J30" s="34">
        <v>255</v>
      </c>
      <c r="K30" s="34">
        <v>233</v>
      </c>
      <c r="L30" s="34">
        <v>192</v>
      </c>
      <c r="M30" s="34">
        <v>180</v>
      </c>
      <c r="N30" s="34">
        <v>184</v>
      </c>
      <c r="O30" s="34">
        <v>153</v>
      </c>
      <c r="P30" s="34">
        <v>240</v>
      </c>
      <c r="Q30" s="35">
        <v>183</v>
      </c>
      <c r="R30" s="36">
        <v>203</v>
      </c>
      <c r="S30" s="36">
        <v>234</v>
      </c>
      <c r="T30" s="37">
        <v>245</v>
      </c>
      <c r="U30" s="37">
        <v>225</v>
      </c>
      <c r="V30" s="38">
        <v>201</v>
      </c>
      <c r="W30" s="39">
        <v>188</v>
      </c>
      <c r="X30" s="40">
        <v>163</v>
      </c>
      <c r="Y30" s="40">
        <v>247</v>
      </c>
      <c r="Z30" s="40">
        <v>232</v>
      </c>
      <c r="AA30" s="40">
        <v>116</v>
      </c>
      <c r="AB30" s="41">
        <v>160</v>
      </c>
      <c r="AC30" s="42">
        <v>197</v>
      </c>
      <c r="AD30" s="41">
        <v>233</v>
      </c>
      <c r="AE30" s="43">
        <v>215</v>
      </c>
      <c r="AF30" s="43">
        <v>299</v>
      </c>
      <c r="AG30" s="26">
        <v>254</v>
      </c>
      <c r="AH30" s="26">
        <v>174</v>
      </c>
      <c r="AI30" s="26">
        <v>195</v>
      </c>
      <c r="AJ30" s="26">
        <v>230</v>
      </c>
      <c r="AK30" s="26">
        <v>304</v>
      </c>
      <c r="AL30" s="26">
        <v>278</v>
      </c>
      <c r="AM30" s="26">
        <v>308</v>
      </c>
      <c r="AN30" s="26">
        <v>367</v>
      </c>
      <c r="AO30" s="26">
        <v>219</v>
      </c>
      <c r="AP30" s="27">
        <f t="shared" si="4"/>
        <v>8327</v>
      </c>
      <c r="AQ30" s="16">
        <f t="shared" si="0"/>
        <v>208.17500000000001</v>
      </c>
      <c r="AS30" s="16">
        <f t="shared" si="1"/>
        <v>295.2</v>
      </c>
      <c r="AT30" s="28"/>
      <c r="AU30" s="28"/>
      <c r="AV30" s="44" t="s">
        <v>64</v>
      </c>
      <c r="AW30" s="45">
        <f t="shared" si="5"/>
        <v>295.2</v>
      </c>
      <c r="AX30" s="45">
        <f t="shared" si="2"/>
        <v>219</v>
      </c>
      <c r="AY30" s="45">
        <f t="shared" si="6"/>
        <v>-76.199999999999989</v>
      </c>
      <c r="AZ30" s="64">
        <f t="shared" si="3"/>
        <v>-25.8130081300813</v>
      </c>
    </row>
    <row r="31" spans="1:52" x14ac:dyDescent="0.25">
      <c r="A31" s="32" t="s">
        <v>65</v>
      </c>
      <c r="B31" s="33">
        <v>91</v>
      </c>
      <c r="C31" s="34">
        <v>88</v>
      </c>
      <c r="D31" s="34">
        <v>91</v>
      </c>
      <c r="E31" s="34">
        <v>119</v>
      </c>
      <c r="F31" s="34">
        <v>140</v>
      </c>
      <c r="G31" s="34">
        <v>116</v>
      </c>
      <c r="H31" s="34">
        <v>155</v>
      </c>
      <c r="I31" s="34">
        <v>184</v>
      </c>
      <c r="J31" s="34">
        <v>240</v>
      </c>
      <c r="K31" s="34">
        <v>228</v>
      </c>
      <c r="L31" s="34">
        <v>180</v>
      </c>
      <c r="M31" s="34">
        <v>148</v>
      </c>
      <c r="N31" s="34">
        <v>177</v>
      </c>
      <c r="O31" s="34">
        <v>156</v>
      </c>
      <c r="P31" s="34">
        <v>193</v>
      </c>
      <c r="Q31" s="35">
        <v>158</v>
      </c>
      <c r="R31" s="36">
        <v>166</v>
      </c>
      <c r="S31" s="36">
        <v>208</v>
      </c>
      <c r="T31" s="37">
        <v>208</v>
      </c>
      <c r="U31" s="37">
        <v>205</v>
      </c>
      <c r="V31" s="38">
        <v>170</v>
      </c>
      <c r="W31" s="39">
        <v>146</v>
      </c>
      <c r="X31" s="40">
        <v>116</v>
      </c>
      <c r="Y31" s="40">
        <v>223</v>
      </c>
      <c r="Z31" s="40">
        <v>148</v>
      </c>
      <c r="AA31" s="40">
        <v>97</v>
      </c>
      <c r="AB31" s="41">
        <v>127</v>
      </c>
      <c r="AC31" s="42">
        <v>154</v>
      </c>
      <c r="AD31" s="41">
        <v>184</v>
      </c>
      <c r="AE31" s="43">
        <v>176</v>
      </c>
      <c r="AF31" s="43">
        <v>250</v>
      </c>
      <c r="AG31" s="26">
        <v>191</v>
      </c>
      <c r="AH31" s="26">
        <v>142</v>
      </c>
      <c r="AI31" s="26">
        <v>142</v>
      </c>
      <c r="AJ31" s="26">
        <v>181</v>
      </c>
      <c r="AK31" s="26">
        <v>286</v>
      </c>
      <c r="AL31" s="26">
        <v>260</v>
      </c>
      <c r="AM31" s="26">
        <v>238</v>
      </c>
      <c r="AN31" s="26">
        <v>248</v>
      </c>
      <c r="AO31" s="26">
        <v>192</v>
      </c>
      <c r="AP31" s="27">
        <f>SUM(B31:AO31)</f>
        <v>6922</v>
      </c>
      <c r="AQ31" s="16">
        <f t="shared" si="0"/>
        <v>173.05</v>
      </c>
      <c r="AS31" s="16">
        <f t="shared" si="1"/>
        <v>244.8</v>
      </c>
      <c r="AT31" s="28"/>
      <c r="AV31" s="44" t="s">
        <v>65</v>
      </c>
      <c r="AW31" s="45">
        <f>+AS31</f>
        <v>244.8</v>
      </c>
      <c r="AX31" s="45">
        <f t="shared" si="2"/>
        <v>192</v>
      </c>
      <c r="AY31" s="45">
        <f t="shared" si="6"/>
        <v>-52.800000000000011</v>
      </c>
      <c r="AZ31" s="64">
        <f t="shared" si="3"/>
        <v>-21.568627450980394</v>
      </c>
    </row>
    <row r="32" spans="1:52" x14ac:dyDescent="0.25">
      <c r="A32" s="32" t="s">
        <v>66</v>
      </c>
      <c r="B32" s="33">
        <v>62</v>
      </c>
      <c r="C32" s="34">
        <v>68</v>
      </c>
      <c r="D32" s="34">
        <v>73</v>
      </c>
      <c r="E32" s="34">
        <v>72</v>
      </c>
      <c r="F32" s="34">
        <v>75</v>
      </c>
      <c r="G32" s="34">
        <v>94</v>
      </c>
      <c r="H32" s="34">
        <v>148</v>
      </c>
      <c r="I32" s="34">
        <v>134</v>
      </c>
      <c r="J32" s="34">
        <v>182</v>
      </c>
      <c r="K32" s="34">
        <v>182</v>
      </c>
      <c r="L32" s="34">
        <v>129</v>
      </c>
      <c r="M32" s="34">
        <v>131</v>
      </c>
      <c r="N32" s="34">
        <v>165</v>
      </c>
      <c r="O32" s="34">
        <v>132</v>
      </c>
      <c r="P32" s="34">
        <v>170</v>
      </c>
      <c r="Q32" s="35">
        <v>152</v>
      </c>
      <c r="R32" s="36">
        <v>127</v>
      </c>
      <c r="S32" s="36">
        <v>161</v>
      </c>
      <c r="T32" s="37">
        <v>156</v>
      </c>
      <c r="U32" s="37">
        <v>140</v>
      </c>
      <c r="V32" s="38">
        <v>160</v>
      </c>
      <c r="W32" s="39">
        <v>117</v>
      </c>
      <c r="X32" s="39">
        <v>114</v>
      </c>
      <c r="Y32" s="40">
        <v>149</v>
      </c>
      <c r="Z32" s="40">
        <v>143</v>
      </c>
      <c r="AA32" s="40">
        <v>76</v>
      </c>
      <c r="AB32" s="41">
        <v>86</v>
      </c>
      <c r="AC32" s="41">
        <v>113</v>
      </c>
      <c r="AD32" s="41">
        <v>118</v>
      </c>
      <c r="AE32" s="43">
        <v>134</v>
      </c>
      <c r="AF32" s="43">
        <v>191</v>
      </c>
      <c r="AG32" s="26">
        <v>178</v>
      </c>
      <c r="AH32" s="26">
        <v>126</v>
      </c>
      <c r="AI32" s="26">
        <v>144</v>
      </c>
      <c r="AJ32" s="26">
        <v>185</v>
      </c>
      <c r="AK32" s="26">
        <v>268</v>
      </c>
      <c r="AL32" s="26">
        <v>221</v>
      </c>
      <c r="AM32" s="26">
        <v>198</v>
      </c>
      <c r="AN32" s="26">
        <v>226</v>
      </c>
      <c r="AO32" s="26">
        <v>185</v>
      </c>
      <c r="AP32" s="27">
        <f t="shared" si="4"/>
        <v>5685</v>
      </c>
      <c r="AQ32" s="16">
        <f t="shared" si="0"/>
        <v>142.125</v>
      </c>
      <c r="AS32" s="16">
        <f t="shared" si="1"/>
        <v>219.6</v>
      </c>
      <c r="AT32" s="28"/>
      <c r="AV32" s="44" t="s">
        <v>66</v>
      </c>
      <c r="AW32" s="45">
        <f t="shared" si="5"/>
        <v>219.6</v>
      </c>
      <c r="AX32" s="45">
        <f t="shared" si="2"/>
        <v>185</v>
      </c>
      <c r="AY32" s="45">
        <f t="shared" si="6"/>
        <v>-34.599999999999994</v>
      </c>
      <c r="AZ32" s="64">
        <f t="shared" si="3"/>
        <v>-15.755919854280508</v>
      </c>
    </row>
    <row r="33" spans="1:52" x14ac:dyDescent="0.25">
      <c r="A33" s="32" t="s">
        <v>67</v>
      </c>
      <c r="B33" s="33">
        <v>20</v>
      </c>
      <c r="C33" s="34">
        <v>41</v>
      </c>
      <c r="D33" s="34">
        <v>33</v>
      </c>
      <c r="E33" s="34">
        <v>35</v>
      </c>
      <c r="F33" s="34">
        <v>41</v>
      </c>
      <c r="G33" s="34">
        <v>43</v>
      </c>
      <c r="H33" s="34">
        <v>87</v>
      </c>
      <c r="I33" s="34">
        <v>71</v>
      </c>
      <c r="J33" s="34">
        <v>97</v>
      </c>
      <c r="K33" s="34">
        <v>111</v>
      </c>
      <c r="L33" s="34">
        <v>72</v>
      </c>
      <c r="M33" s="34">
        <v>66</v>
      </c>
      <c r="N33" s="34">
        <v>94</v>
      </c>
      <c r="O33" s="34">
        <v>79</v>
      </c>
      <c r="P33" s="34">
        <v>92</v>
      </c>
      <c r="Q33" s="35">
        <v>94</v>
      </c>
      <c r="R33" s="36">
        <v>97</v>
      </c>
      <c r="S33" s="36">
        <v>91</v>
      </c>
      <c r="T33" s="37">
        <v>91</v>
      </c>
      <c r="U33" s="37">
        <v>107</v>
      </c>
      <c r="V33" s="38">
        <v>91</v>
      </c>
      <c r="W33" s="39">
        <v>66</v>
      </c>
      <c r="X33" s="39">
        <v>75</v>
      </c>
      <c r="Y33" s="40">
        <v>114</v>
      </c>
      <c r="Z33" s="40">
        <v>81</v>
      </c>
      <c r="AA33" s="40">
        <v>51</v>
      </c>
      <c r="AB33" s="41">
        <v>42</v>
      </c>
      <c r="AC33" s="41">
        <v>96</v>
      </c>
      <c r="AD33" s="41">
        <v>86</v>
      </c>
      <c r="AE33" s="43">
        <v>87</v>
      </c>
      <c r="AF33" s="43">
        <v>142</v>
      </c>
      <c r="AG33" s="26">
        <v>153</v>
      </c>
      <c r="AH33" s="26">
        <v>123</v>
      </c>
      <c r="AI33" s="26">
        <v>145</v>
      </c>
      <c r="AJ33" s="26">
        <v>143</v>
      </c>
      <c r="AK33" s="26">
        <v>179</v>
      </c>
      <c r="AL33" s="26">
        <v>163</v>
      </c>
      <c r="AM33" s="26">
        <v>167</v>
      </c>
      <c r="AN33" s="26">
        <v>150</v>
      </c>
      <c r="AO33" s="26">
        <v>132</v>
      </c>
      <c r="AP33" s="27">
        <f t="shared" si="4"/>
        <v>3748</v>
      </c>
      <c r="AQ33" s="16">
        <f t="shared" si="0"/>
        <v>93.7</v>
      </c>
      <c r="AS33" s="16">
        <f t="shared" si="1"/>
        <v>158.19999999999999</v>
      </c>
      <c r="AT33" s="28"/>
      <c r="AV33" s="46" t="s">
        <v>67</v>
      </c>
      <c r="AW33" s="47">
        <f>+AS33</f>
        <v>158.19999999999999</v>
      </c>
      <c r="AX33" s="47">
        <f t="shared" si="2"/>
        <v>132</v>
      </c>
      <c r="AY33" s="47">
        <f t="shared" si="6"/>
        <v>-26.199999999999989</v>
      </c>
      <c r="AZ33" s="66">
        <f t="shared" si="3"/>
        <v>-16.561314791403284</v>
      </c>
    </row>
    <row r="34" spans="1:52" x14ac:dyDescent="0.25">
      <c r="A34" s="48" t="s">
        <v>68</v>
      </c>
      <c r="B34" s="49">
        <v>0</v>
      </c>
      <c r="C34" s="50">
        <v>0</v>
      </c>
      <c r="D34" s="50">
        <v>0</v>
      </c>
      <c r="E34" s="50">
        <v>0</v>
      </c>
      <c r="F34" s="50">
        <v>0</v>
      </c>
      <c r="G34" s="50">
        <v>0</v>
      </c>
      <c r="H34" s="50">
        <v>0</v>
      </c>
      <c r="I34" s="50">
        <v>2</v>
      </c>
      <c r="J34" s="50">
        <v>4</v>
      </c>
      <c r="K34" s="50">
        <v>4</v>
      </c>
      <c r="L34" s="50">
        <v>2</v>
      </c>
      <c r="M34" s="50">
        <v>0</v>
      </c>
      <c r="N34" s="50">
        <v>6</v>
      </c>
      <c r="O34" s="50">
        <v>4</v>
      </c>
      <c r="P34" s="50">
        <v>1</v>
      </c>
      <c r="Q34" s="51">
        <v>1</v>
      </c>
      <c r="R34" s="52">
        <v>2</v>
      </c>
      <c r="S34" s="52">
        <v>0</v>
      </c>
      <c r="T34" s="53">
        <v>11</v>
      </c>
      <c r="U34" s="53">
        <v>0</v>
      </c>
      <c r="V34" s="51">
        <v>0</v>
      </c>
      <c r="W34" s="53">
        <v>0</v>
      </c>
      <c r="X34" s="53">
        <v>0</v>
      </c>
      <c r="Y34" s="53">
        <v>0</v>
      </c>
      <c r="Z34" s="52">
        <v>0</v>
      </c>
      <c r="AA34" s="53">
        <v>0</v>
      </c>
      <c r="AB34" s="51">
        <v>0</v>
      </c>
      <c r="AC34" s="53">
        <v>10</v>
      </c>
      <c r="AD34" s="51">
        <v>0</v>
      </c>
      <c r="AE34" s="54">
        <v>0</v>
      </c>
      <c r="AF34" s="54">
        <v>0</v>
      </c>
      <c r="AG34" s="55">
        <v>0</v>
      </c>
      <c r="AH34" s="55">
        <v>0</v>
      </c>
      <c r="AI34" s="55">
        <v>0</v>
      </c>
      <c r="AJ34" s="55">
        <v>0</v>
      </c>
      <c r="AK34" s="55">
        <v>0</v>
      </c>
      <c r="AL34" s="55">
        <v>0</v>
      </c>
      <c r="AM34" s="55">
        <v>0</v>
      </c>
      <c r="AN34" s="55">
        <v>0</v>
      </c>
      <c r="AO34" s="55">
        <v>0</v>
      </c>
      <c r="AP34" s="27">
        <f t="shared" si="4"/>
        <v>47</v>
      </c>
      <c r="AQ34" s="16">
        <f>AVERAGE(B34:AO34)</f>
        <v>1.175</v>
      </c>
      <c r="AS34" s="16">
        <f t="shared" si="1"/>
        <v>0</v>
      </c>
      <c r="AT34" s="28"/>
      <c r="AV34" s="2"/>
      <c r="AW34" s="56"/>
      <c r="AX34" s="56"/>
      <c r="AY34" s="56"/>
      <c r="AZ34" s="56"/>
    </row>
    <row r="35" spans="1:52" x14ac:dyDescent="0.25">
      <c r="A35" s="57" t="s">
        <v>69</v>
      </c>
      <c r="B35" s="58">
        <f>SUM(B10:B34)</f>
        <v>5223</v>
      </c>
      <c r="C35" s="59">
        <f t="shared" ref="C35:AG35" si="7">SUM(C10:C34)</f>
        <v>5421</v>
      </c>
      <c r="D35" s="59">
        <f t="shared" si="7"/>
        <v>5195</v>
      </c>
      <c r="E35" s="59">
        <f t="shared" si="7"/>
        <v>5202</v>
      </c>
      <c r="F35" s="59">
        <f t="shared" si="7"/>
        <v>5241</v>
      </c>
      <c r="G35" s="59">
        <f t="shared" si="7"/>
        <v>4114</v>
      </c>
      <c r="H35" s="59">
        <f t="shared" si="7"/>
        <v>5194</v>
      </c>
      <c r="I35" s="59">
        <f>SUM(I10:I34)</f>
        <v>4788</v>
      </c>
      <c r="J35" s="59">
        <f t="shared" si="7"/>
        <v>6118</v>
      </c>
      <c r="K35" s="59">
        <f t="shared" si="7"/>
        <v>6214</v>
      </c>
      <c r="L35" s="59">
        <f t="shared" si="7"/>
        <v>5356</v>
      </c>
      <c r="M35" s="59">
        <f t="shared" si="7"/>
        <v>5886</v>
      </c>
      <c r="N35" s="59">
        <f t="shared" si="7"/>
        <v>5493</v>
      </c>
      <c r="O35" s="59">
        <f t="shared" si="7"/>
        <v>5332</v>
      </c>
      <c r="P35" s="59">
        <f t="shared" si="7"/>
        <v>6831</v>
      </c>
      <c r="Q35" s="59">
        <f>SUM(Q10:Q34)</f>
        <v>5252</v>
      </c>
      <c r="R35" s="59">
        <f t="shared" si="7"/>
        <v>5376</v>
      </c>
      <c r="S35" s="59">
        <f t="shared" si="7"/>
        <v>6701</v>
      </c>
      <c r="T35" s="59">
        <f t="shared" si="7"/>
        <v>7572</v>
      </c>
      <c r="U35" s="59">
        <f t="shared" si="7"/>
        <v>6430</v>
      </c>
      <c r="V35" s="59">
        <f t="shared" si="7"/>
        <v>6653</v>
      </c>
      <c r="W35" s="59">
        <f t="shared" si="7"/>
        <v>5396</v>
      </c>
      <c r="X35" s="59">
        <f t="shared" si="7"/>
        <v>5143</v>
      </c>
      <c r="Y35" s="59">
        <f t="shared" si="7"/>
        <v>6975</v>
      </c>
      <c r="Z35" s="59">
        <f t="shared" si="7"/>
        <v>6157</v>
      </c>
      <c r="AA35" s="59">
        <f t="shared" si="7"/>
        <v>4069</v>
      </c>
      <c r="AB35" s="59">
        <f t="shared" si="7"/>
        <v>4952</v>
      </c>
      <c r="AC35" s="59">
        <f t="shared" si="7"/>
        <v>5509</v>
      </c>
      <c r="AD35" s="60">
        <f t="shared" si="7"/>
        <v>5651</v>
      </c>
      <c r="AE35" s="59">
        <f t="shared" si="7"/>
        <v>6335</v>
      </c>
      <c r="AF35" s="59">
        <f t="shared" si="7"/>
        <v>8048</v>
      </c>
      <c r="AG35" s="59">
        <f t="shared" si="7"/>
        <v>6784</v>
      </c>
      <c r="AH35" s="61">
        <f t="shared" ref="AH35:AL35" si="8">SUM(AH10:AH34)</f>
        <v>5274</v>
      </c>
      <c r="AI35" s="61">
        <f t="shared" si="8"/>
        <v>6081</v>
      </c>
      <c r="AJ35" s="61">
        <f t="shared" si="8"/>
        <v>7219</v>
      </c>
      <c r="AK35" s="61">
        <f t="shared" si="8"/>
        <v>8127</v>
      </c>
      <c r="AL35" s="61">
        <f t="shared" si="8"/>
        <v>7101</v>
      </c>
      <c r="AM35" s="61">
        <f>SUM(AM10:AM34)</f>
        <v>6947</v>
      </c>
      <c r="AN35" s="61">
        <f>SUM(AN10:AN34)</f>
        <v>6982</v>
      </c>
      <c r="AO35" s="61">
        <f>SUM(AO10:AO34)</f>
        <v>5958</v>
      </c>
      <c r="AP35" s="61">
        <f>SUM(B35:AO35)</f>
        <v>238300</v>
      </c>
      <c r="AQ35" s="62">
        <f>AVERAGE(B35:AO35)</f>
        <v>5957.5</v>
      </c>
      <c r="AS35" s="62">
        <f>AVERAGE(AK35:AO35)</f>
        <v>7023</v>
      </c>
      <c r="AT35" s="28"/>
      <c r="AX35" s="29"/>
    </row>
    <row r="37" spans="1:52" x14ac:dyDescent="0.25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82"/>
      <c r="AN37" s="83"/>
      <c r="AO37" s="84"/>
      <c r="AP37" s="85"/>
    </row>
    <row r="38" spans="1:52" x14ac:dyDescent="0.25"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3"/>
      <c r="AC38" s="63"/>
      <c r="AD38" s="63"/>
      <c r="AE38" s="63"/>
      <c r="AF38" s="63"/>
      <c r="AG38" s="63"/>
      <c r="AH38" s="63"/>
      <c r="AI38" s="63"/>
      <c r="AJ38" s="63"/>
      <c r="AK38" s="63"/>
      <c r="AL38" s="63"/>
      <c r="AM38" s="86"/>
      <c r="AN38" s="83"/>
      <c r="AO38" s="84"/>
      <c r="AP38" s="87"/>
    </row>
    <row r="39" spans="1:52" x14ac:dyDescent="0.25">
      <c r="AM39" s="87"/>
      <c r="AN39" s="83"/>
      <c r="AO39" s="84"/>
      <c r="AP39" s="87"/>
      <c r="AS39" s="29"/>
    </row>
    <row r="40" spans="1:52" x14ac:dyDescent="0.25">
      <c r="AM40" s="87"/>
      <c r="AN40" s="83"/>
      <c r="AO40" s="84"/>
      <c r="AP40" s="87"/>
    </row>
    <row r="41" spans="1:52" x14ac:dyDescent="0.25">
      <c r="AM41" s="87"/>
      <c r="AN41" s="83"/>
      <c r="AO41" s="84"/>
      <c r="AP41" s="87"/>
    </row>
    <row r="42" spans="1:52" x14ac:dyDescent="0.25">
      <c r="AM42" s="87"/>
      <c r="AN42" s="83"/>
      <c r="AO42" s="84"/>
      <c r="AP42" s="87"/>
    </row>
    <row r="43" spans="1:52" x14ac:dyDescent="0.25">
      <c r="AM43" s="87"/>
      <c r="AN43" s="83"/>
      <c r="AO43" s="84"/>
      <c r="AP43" s="87"/>
    </row>
    <row r="44" spans="1:52" x14ac:dyDescent="0.25">
      <c r="AM44" s="87"/>
      <c r="AN44" s="83"/>
      <c r="AO44" s="84"/>
      <c r="AP44" s="87"/>
    </row>
    <row r="45" spans="1:52" x14ac:dyDescent="0.25">
      <c r="AM45" s="87"/>
      <c r="AN45" s="83"/>
      <c r="AO45" s="84"/>
      <c r="AP45" s="87"/>
    </row>
    <row r="46" spans="1:52" x14ac:dyDescent="0.25">
      <c r="AM46" s="87"/>
      <c r="AN46" s="83"/>
      <c r="AO46" s="84"/>
      <c r="AP46" s="87"/>
    </row>
    <row r="47" spans="1:52" x14ac:dyDescent="0.25">
      <c r="AM47" s="87"/>
      <c r="AN47" s="83"/>
      <c r="AO47" s="84"/>
      <c r="AP47" s="87"/>
    </row>
    <row r="48" spans="1:52" x14ac:dyDescent="0.25">
      <c r="AM48" s="87"/>
      <c r="AN48" s="83"/>
      <c r="AO48" s="84"/>
      <c r="AP48" s="87"/>
    </row>
    <row r="49" spans="39:42" x14ac:dyDescent="0.25">
      <c r="AM49" s="87"/>
      <c r="AN49" s="83"/>
      <c r="AO49" s="84"/>
      <c r="AP49" s="87"/>
    </row>
    <row r="50" spans="39:42" x14ac:dyDescent="0.25">
      <c r="AM50" s="87"/>
      <c r="AN50" s="83"/>
      <c r="AO50" s="84"/>
      <c r="AP50" s="87"/>
    </row>
    <row r="51" spans="39:42" x14ac:dyDescent="0.25">
      <c r="AM51" s="87"/>
      <c r="AN51" s="83"/>
      <c r="AO51" s="84"/>
      <c r="AP51" s="87"/>
    </row>
    <row r="52" spans="39:42" x14ac:dyDescent="0.25">
      <c r="AM52" s="87"/>
      <c r="AN52" s="83"/>
      <c r="AO52" s="84"/>
      <c r="AP52" s="87"/>
    </row>
    <row r="53" spans="39:42" x14ac:dyDescent="0.25">
      <c r="AM53" s="87"/>
      <c r="AN53" s="83"/>
      <c r="AO53" s="84"/>
      <c r="AP53" s="87"/>
    </row>
    <row r="54" spans="39:42" x14ac:dyDescent="0.25">
      <c r="AM54" s="87"/>
      <c r="AN54" s="83"/>
      <c r="AO54" s="84"/>
      <c r="AP54" s="87"/>
    </row>
    <row r="55" spans="39:42" x14ac:dyDescent="0.25">
      <c r="AM55" s="87"/>
      <c r="AN55" s="83"/>
      <c r="AO55" s="84"/>
      <c r="AP55" s="87"/>
    </row>
    <row r="56" spans="39:42" x14ac:dyDescent="0.25">
      <c r="AM56" s="87"/>
      <c r="AN56" s="83"/>
      <c r="AO56" s="84"/>
      <c r="AP56" s="87"/>
    </row>
    <row r="57" spans="39:42" x14ac:dyDescent="0.25">
      <c r="AM57" s="87"/>
      <c r="AN57" s="83"/>
      <c r="AO57" s="84"/>
      <c r="AP57" s="87"/>
    </row>
    <row r="58" spans="39:42" x14ac:dyDescent="0.25">
      <c r="AM58" s="87"/>
      <c r="AN58" s="83"/>
      <c r="AO58" s="84"/>
      <c r="AP58" s="87"/>
    </row>
    <row r="59" spans="39:42" x14ac:dyDescent="0.25">
      <c r="AM59" s="87"/>
      <c r="AN59" s="83"/>
      <c r="AO59" s="84"/>
      <c r="AP59" s="87"/>
    </row>
    <row r="60" spans="39:42" x14ac:dyDescent="0.25">
      <c r="AM60" s="87"/>
      <c r="AN60" s="83"/>
      <c r="AO60" s="84"/>
      <c r="AP60" s="87"/>
    </row>
    <row r="61" spans="39:42" x14ac:dyDescent="0.25">
      <c r="AM61" s="87"/>
      <c r="AN61" s="87"/>
      <c r="AO61" s="87"/>
      <c r="AP61" s="87"/>
    </row>
  </sheetData>
  <mergeCells count="8">
    <mergeCell ref="AS8:AS9"/>
    <mergeCell ref="AV8:AZ8"/>
    <mergeCell ref="A5:AQ5"/>
    <mergeCell ref="A6:AQ6"/>
    <mergeCell ref="A8:A9"/>
    <mergeCell ref="AP8:AP9"/>
    <mergeCell ref="AQ8:AQ9"/>
    <mergeCell ref="B8:AO8"/>
  </mergeCells>
  <pageMargins left="0.70866141732283472" right="0.70866141732283472" top="0.74803149606299213" bottom="0.74803149606299213" header="0.31496062992125984" footer="0.31496062992125984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RANGO HORARIO</vt:lpstr>
      <vt:lpstr>'RANGO HORARIO'!Área_de_impresión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Rene Burgos</dc:creator>
  <cp:lastModifiedBy>Claudia Tobar</cp:lastModifiedBy>
  <cp:lastPrinted>2024-10-26T14:33:35Z</cp:lastPrinted>
  <dcterms:created xsi:type="dcterms:W3CDTF">2019-02-01T12:45:18Z</dcterms:created>
  <dcterms:modified xsi:type="dcterms:W3CDTF">2024-10-26T14:53:28Z</dcterms:modified>
</cp:coreProperties>
</file>